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a56545ead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· Dashboard" sheetId="1" r:id="R72ad8feb59014684"/>
    <x:sheet xmlns:r="http://schemas.openxmlformats.org/officeDocument/2006/relationships" name="02 · Weekly" sheetId="2" r:id="R36979c003c4747c0"/>
    <x:sheet xmlns:r="http://schemas.openxmlformats.org/officeDocument/2006/relationships" name="03 · Habits" sheetId="3" r:id="R3946ae4da3ea4148"/>
    <x:sheet xmlns:r="http://schemas.openxmlformats.org/officeDocument/2006/relationships" name="04 · Mood &amp; Energy" sheetId="4" r:id="R979133a8d26f482e"/>
    <x:sheet xmlns:r="http://schemas.openxmlformats.org/officeDocument/2006/relationships" name="05 · Spending" sheetId="5" r:id="R7f40369189fa404a"/>
    <x:sheet xmlns:r="http://schemas.openxmlformats.org/officeDocument/2006/relationships" name="06 · Style Lab" sheetId="6" r:id="Rb6a1a74cea3c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$&quot;#,##0.00"/>
    <x:numFmt numFmtId="201" formatCode="0%"/>
    <x:numFmt numFmtId="202" formatCode="0.0"/>
    <x:numFmt numFmtId="203" formatCode="mmm d"/>
    <x:numFmt numFmtId="204" formatCode="0.0%"/>
    <x:numFmt numFmtId="205" formatCode="ddd, mmm d"/>
    <x:numFmt numFmtId="206" formatCode="0.00"/>
    <x:numFmt numFmtId="207" formatCode="[Red]-0.00;0.00"/>
  </x:numFmts>
  <x:fonts count="12">
    <x:font>
      <x:sz val="11"/>
      <x:name val="Carlito"/>
    </x:font>
    <x:font>
      <x:sz val="10"/>
      <x:color rgb="FF51465C"/>
      <x:name val="Aptos"/>
    </x:font>
    <x:font>
      <x:b/>
      <x:sz val="22"/>
      <x:color rgb="FF51465C"/>
      <x:name val="Aptos Display"/>
    </x:font>
    <x:font>
      <x:i/>
      <x:sz val="10"/>
      <x:color rgb="FF8F8196"/>
      <x:name val="Aptos"/>
    </x:font>
    <x:font>
      <x:b/>
      <x:sz val="11"/>
      <x:color rgb="FF51465C"/>
      <x:name val="Aptos"/>
    </x:font>
    <x:font>
      <x:b/>
      <x:sz val="22"/>
      <x:color rgb="FF8167A5"/>
      <x:name val="Aptos"/>
    </x:font>
    <x:font>
      <x:i/>
      <x:sz val="14"/>
      <x:color rgb="FF8167A5"/>
      <x:name val="Aptos"/>
    </x:font>
    <x:font>
      <x:b/>
      <x:sz val="10"/>
      <x:color rgb="FF51465C"/>
      <x:name val="Aptos"/>
    </x:font>
    <x:font>
      <x:b/>
      <x:sz val="9"/>
      <x:color rgb="FF51465C"/>
      <x:name val="Aptos"/>
    </x:font>
    <x:font>
      <x:b/>
      <x:sz val="9"/>
      <x:name val="Carlito"/>
    </x:font>
    <x:font>
      <x:b/>
      <x:sz val="11"/>
      <x:color rgb="FFFFFFFF"/>
      <x:name val="Carlito"/>
    </x:font>
    <x:font>
      <x:b/>
      <x:i/>
      <x:sz val="12"/>
      <x:color rgb="FF8167A5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FF9F5"/>
      </x:patternFill>
    </x:fill>
    <x:fill>
      <x:patternFill patternType="solid">
        <x:fgColor rgb="FFDCCCF5"/>
      </x:patternFill>
    </x:fill>
    <x:fill>
      <x:patternFill patternType="solid">
        <x:fgColor rgb="FFFFFFFF"/>
      </x:patternFill>
    </x:fill>
    <x:fill>
      <x:patternFill patternType="solid">
        <x:fgColor rgb="FFF8D8E5"/>
      </x:patternFill>
    </x:fill>
    <x:fill>
      <x:patternFill patternType="solid">
        <x:fgColor rgb="FFFFE7CD"/>
      </x:patternFill>
    </x:fill>
    <x:fill>
      <x:patternFill patternType="solid">
        <x:fgColor rgb="FFD8EFE2"/>
      </x:patternFill>
    </x:fill>
    <x:fill>
      <x:patternFill patternType="solid">
        <x:fgColor rgb="FFFCEFF5"/>
      </x:patternFill>
    </x:fill>
    <x:fill>
      <x:patternFill patternType="solid">
        <x:fgColor rgb="FF8167A5"/>
      </x:patternFill>
    </x:fill>
    <x:fill>
      <x:patternFill patternType="solid">
        <x:fgColor rgb="FFFFF0DF"/>
      </x:patternFill>
    </x:fill>
    <x:fill>
      <x:patternFill patternType="solid">
        <x:fgColor rgb="FFFFF0B8"/>
      </x:patternFill>
    </x:fill>
    <x:fill>
      <x:patternFill patternType="solid">
        <x:fgColor rgb="FFC3DCF9"/>
      </x:patternFill>
    </x:fill>
    <x:fill>
      <x:patternFill patternType="solid">
        <x:fgColor rgb="FFF9F0FC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7" borderId="1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3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3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202" fontId="1" fillId="10" borderId="1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1" borderId="1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3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13" borderId="0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13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2" borderId="1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" fillId="2" borderId="1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6" fontId="1" fillId="2" borderId="1" xfId="0" applyNumberFormat="1" applyFont="1" applyFill="1" applyBorder="1" applyAlignment="1">
      <x:alignment vertical="center"/>
    </x:xf>
    <x:xf numFmtId="207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D8EFE2"/>
        </x:patternFill>
      </x:fill>
    </x:dxf>
    <x:dxf>
      <x:fill>
        <x:patternFill patternType="solid">
          <x:bgColor rgb="FFFFF0B8"/>
        </x:patternFill>
      </x:fill>
    </x:dxf>
    <x:dxf>
      <x:fill>
        <x:patternFill patternType="solid">
          <x:bgColor rgb="FFD8EFE2"/>
        </x:patternFill>
      </x:fill>
    </x:dxf>
    <x:dxf>
      <x:fill>
        <x:patternFill patternType="solid">
          <x:bgColor rgb="FFFAE1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ecc7803c34ca2" /><Relationship Type="http://schemas.openxmlformats.org/officeDocument/2006/relationships/theme" Target="/xl/theme/theme1.xml" Id="R536836a2fcea49ee" /><Relationship Type="http://schemas.openxmlformats.org/officeDocument/2006/relationships/sharedStrings" Target="/xl/sharedStrings.xml" Id="R9704211789624b0c" /><Relationship Type="http://schemas.openxmlformats.org/officeDocument/2006/relationships/worksheet" Target="/xl/worksheets/sheet1.xml" Id="R72ad8feb59014684" /><Relationship Type="http://schemas.openxmlformats.org/officeDocument/2006/relationships/worksheet" Target="/xl/worksheets/sheet2.xml" Id="R36979c003c4747c0" /><Relationship Type="http://schemas.openxmlformats.org/officeDocument/2006/relationships/worksheet" Target="/xl/worksheets/sheet3.xml" Id="R3946ae4da3ea4148" /><Relationship Type="http://schemas.openxmlformats.org/officeDocument/2006/relationships/worksheet" Target="/xl/worksheets/sheet4.xml" Id="R979133a8d26f482e" /><Relationship Type="http://schemas.openxmlformats.org/officeDocument/2006/relationships/worksheet" Target="/xl/worksheets/sheet5.xml" Id="R7f40369189fa404a" /><Relationship Type="http://schemas.openxmlformats.org/officeDocument/2006/relationships/worksheet" Target="/xl/worksheets/sheet6.xml" Id="Rb6a1a74cea3c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9" t="str">
        <x:v>01 · DASHBOARD  ✿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4"/>
    </x:row>
    <x:row r="3" ht="25" customHeight="1">
      <x:c r="A3" s="4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4"/>
    </x:row>
    <x:row r="4" ht="24" customHeight="1">
      <x:c r="A4" s="4"/>
      <x:c r="B4" s="13" t="str">
        <x:v>a little life, a little magic  •  october 2026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17" t="str">
        <x:v>✦  AT A GLANCE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4" customHeight="1">
      <x:c r="A8" s="4"/>
      <x:c r="B8" s="20" t="str">
        <x:v>HABITS COMPLETED</x:v>
      </x:c>
      <x:c r="C8" s="20"/>
      <x:c r="D8" s="20"/>
      <x:c r="E8" s="20"/>
      <x:c r="F8" s="4"/>
      <x:c r="G8" s="20" t="str">
        <x:v>TASKS FINISHED</x:v>
      </x:c>
      <x:c r="H8" s="20"/>
      <x:c r="I8" s="20"/>
      <x:c r="J8" s="20"/>
      <x:c r="K8" s="4"/>
      <x:c r="L8" s="20" t="str">
        <x:v>THIS MONTH'S SPEND</x:v>
      </x:c>
      <x:c r="M8" s="20"/>
      <x:c r="N8" s="20"/>
      <x:c r="O8" s="20"/>
      <x:c r="P8" s="20"/>
      <x:c r="Q8" s="4"/>
    </x:row>
    <x:row r="9" ht="24" customHeight="1">
      <x:c r="A9" s="4"/>
      <x:c r="B9" s="23" t="n">
        <x:f>COUNTIF('03 · Habits'!C9:AG15,1)</x:f>
        <x:v>155</x:v>
      </x:c>
      <x:c r="C9" s="23"/>
      <x:c r="D9" s="23"/>
      <x:c r="E9" s="23"/>
      <x:c r="F9" s="4"/>
      <x:c r="G9" s="23" t="n">
        <x:f>COUNTIF('02 · Weekly'!K9:K24,"Done")</x:f>
        <x:v>3</x:v>
      </x:c>
      <x:c r="H9" s="23"/>
      <x:c r="I9" s="23"/>
      <x:c r="J9" s="23"/>
      <x:c r="K9" s="4"/>
      <x:c r="L9" s="26" t="n">
        <x:f>SUM('05 · Spending'!F9:F28)</x:f>
        <x:v>194.52</x:v>
      </x:c>
      <x:c r="M9" s="23"/>
      <x:c r="N9" s="23"/>
      <x:c r="O9" s="23"/>
      <x:c r="P9" s="23"/>
      <x:c r="Q9" s="4"/>
    </x:row>
    <x:row r="10" ht="24" customHeight="1">
      <x:c r="A10" s="4"/>
      <x:c r="B10" s="23"/>
      <x:c r="C10" s="23"/>
      <x:c r="D10" s="23"/>
      <x:c r="E10" s="23"/>
      <x:c r="F10" s="4"/>
      <x:c r="G10" s="23"/>
      <x:c r="H10" s="23"/>
      <x:c r="I10" s="23"/>
      <x:c r="J10" s="23"/>
      <x:c r="K10" s="4"/>
      <x:c r="L10" s="23"/>
      <x:c r="M10" s="23"/>
      <x:c r="N10" s="23"/>
      <x:c r="O10" s="23"/>
      <x:c r="P10" s="23"/>
      <x:c r="Q10" s="4"/>
    </x:row>
    <x:row r="11" ht="24" customHeight="1">
      <x:c r="A11" s="4"/>
      <x:c r="B11" s="23"/>
      <x:c r="C11" s="23"/>
      <x:c r="D11" s="23"/>
      <x:c r="E11" s="23"/>
      <x:c r="F11" s="4"/>
      <x:c r="G11" s="23"/>
      <x:c r="H11" s="23"/>
      <x:c r="I11" s="23"/>
      <x:c r="J11" s="23"/>
      <x:c r="K11" s="4"/>
      <x:c r="L11" s="23"/>
      <x:c r="M11" s="23"/>
      <x:c r="N11" s="23"/>
      <x:c r="O11" s="23"/>
      <x:c r="P11" s="23"/>
      <x:c r="Q11" s="4"/>
    </x:row>
    <x:row r="12" ht="24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8" customHeight="1">
      <x:c r="A14" s="4"/>
      <x:c r="B14" s="29" t="str">
        <x:v>♡  OCTOBER INTENTIONS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4"/>
    </x:row>
    <x:row r="15" ht="24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4" customHeight="1">
      <x:c r="A16" s="4"/>
      <x:c r="B16" s="32" t="str">
        <x:v>make room for slow mornings</x:v>
      </x:c>
      <x:c r="C16" s="32"/>
      <x:c r="D16" s="32"/>
      <x:c r="E16" s="32"/>
      <x:c r="F16" s="32"/>
      <x:c r="G16" s="34" t="str">
        <x:v>show up for the small things</x:v>
      </x:c>
      <x:c r="H16" s="34"/>
      <x:c r="I16" s="34"/>
      <x:c r="J16" s="34"/>
      <x:c r="K16" s="34"/>
      <x:c r="L16" s="32" t="str">
        <x:v>celebrate tiny wins</x:v>
      </x:c>
      <x:c r="M16" s="32"/>
      <x:c r="N16" s="32"/>
      <x:c r="O16" s="32"/>
      <x:c r="P16" s="32"/>
      <x:c r="Q16" s="4"/>
    </x:row>
    <x:row r="17" ht="24" customHeight="1">
      <x:c r="A17" s="4"/>
      <x:c r="B17" s="32"/>
      <x:c r="C17" s="32"/>
      <x:c r="D17" s="32"/>
      <x:c r="E17" s="32"/>
      <x:c r="F17" s="32"/>
      <x:c r="G17" s="34"/>
      <x:c r="H17" s="34"/>
      <x:c r="I17" s="34"/>
      <x:c r="J17" s="34"/>
      <x:c r="K17" s="34"/>
      <x:c r="L17" s="32"/>
      <x:c r="M17" s="32"/>
      <x:c r="N17" s="32"/>
      <x:c r="O17" s="32"/>
      <x:c r="P17" s="32"/>
      <x:c r="Q17" s="4"/>
    </x:row>
    <x:row r="18" ht="24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4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8" customHeight="1">
      <x:c r="A20" s="4"/>
      <x:c r="B20" s="17" t="str">
        <x:v>✧  MY MONTH IN NUMBERS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4" customHeight="1">
      <x:c r="A22" s="4"/>
      <x:c r="B22" s="12" t="str">
        <x:v>Habit completion rate</x:v>
      </x:c>
      <x:c r="C22" s="12"/>
      <x:c r="D22" s="12"/>
      <x:c r="E22" s="12"/>
      <x:c r="F22" s="12"/>
      <x:c r="G22" s="36" t="n">
        <x:f>IFERROR(COUNTIF('03 · Habits'!C9:AG15,1)/COUNT('03 · Habits'!C9:AG15),0)</x:f>
        <x:v>0.7142857142857143</x:v>
      </x:c>
      <x:c r="H22" s="28"/>
      <x:c r="I22" s="28"/>
      <x:c r="J22" s="28"/>
      <x:c r="K22" s="28"/>
      <x:c r="L22" s="4"/>
      <x:c r="M22" s="4"/>
      <x:c r="N22" s="4"/>
      <x:c r="O22" s="4"/>
      <x:c r="P22" s="4"/>
      <x:c r="Q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4" customHeight="1">
      <x:c r="A24" s="4"/>
      <x:c r="B24" s="12" t="str">
        <x:v>Average mood</x:v>
      </x:c>
      <x:c r="C24" s="12"/>
      <x:c r="D24" s="12"/>
      <x:c r="E24" s="12"/>
      <x:c r="F24" s="12"/>
      <x:c r="G24" s="38" t="n">
        <x:f>IFERROR(AVERAGE('04 · Mood &amp; Energy'!C9:C39),0)</x:f>
        <x:v>3.032258064516129</x:v>
      </x:c>
      <x:c r="H24" s="28"/>
      <x:c r="I24" s="28"/>
      <x:c r="J24" s="28"/>
      <x:c r="K24" s="28"/>
      <x:c r="L24" s="4"/>
      <x:c r="M24" s="4"/>
      <x:c r="N24" s="4"/>
      <x:c r="O24" s="4"/>
      <x:c r="P24" s="4"/>
      <x:c r="Q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12" t="str">
        <x:v>Money left in budget</x:v>
      </x:c>
      <x:c r="C26" s="12"/>
      <x:c r="D26" s="12"/>
      <x:c r="E26" s="12"/>
      <x:c r="F26" s="12"/>
      <x:c r="G26" s="40" t="n">
        <x:f>'05 · Spending'!C6-SUM('05 · Spending'!F9:F28)</x:f>
        <x:v>-194.52</x:v>
      </x:c>
      <x:c r="H26" s="28"/>
      <x:c r="I26" s="28"/>
      <x:c r="J26" s="28"/>
      <x:c r="K26" s="28"/>
      <x:c r="L26" s="4"/>
      <x:c r="M26" s="4"/>
      <x:c r="N26" s="4"/>
      <x:c r="O26" s="4"/>
      <x:c r="P26" s="4"/>
      <x:c r="Q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8" customHeight="1">
      <x:c r="A30" s="4"/>
      <x:c r="B30" s="42" t="str">
        <x:v>☼  LITTLE REMINDERS</x:v>
      </x:c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45" t="str">
        <x:v>You do not have to do it all. A tiny step still counts.  ✿</x:v>
      </x:c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"/>
    </x:row>
    <x:row r="33" ht="24" customHeight="1">
      <x:c r="A33" s="4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"/>
    </x:row>
    <x:row r="34" ht="24" customHeight="1">
      <x:c r="A34" s="4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P6"/>
    <x:mergeCell ref="B8:E8"/>
    <x:mergeCell ref="G8:J8"/>
    <x:mergeCell ref="L8:P8"/>
    <x:mergeCell ref="B9:E11"/>
    <x:mergeCell ref="G9:J11"/>
    <x:mergeCell ref="L9:P11"/>
    <x:mergeCell ref="B14:P14"/>
    <x:mergeCell ref="B16:F17"/>
    <x:mergeCell ref="G16:K17"/>
    <x:mergeCell ref="L16:P17"/>
    <x:mergeCell ref="B20:P20"/>
    <x:mergeCell ref="B22:F22"/>
    <x:mergeCell ref="G22:K22"/>
    <x:mergeCell ref="B24:F24"/>
    <x:mergeCell ref="G24:K24"/>
    <x:mergeCell ref="B26:F26"/>
    <x:mergeCell ref="G26:K26"/>
    <x:mergeCell ref="B30:P30"/>
    <x:mergeCell ref="B32:P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48" t="str">
        <x:v>02 · WEEKLY  ✿</x:v>
      </x:c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"/>
    </x:row>
    <x:row r="3" ht="25" customHeight="1">
      <x:c r="A3" s="4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"/>
    </x:row>
    <x:row r="4" ht="24" customHeight="1">
      <x:c r="A4" s="4"/>
      <x:c r="B4" s="13" t="str">
        <x:v>weekly reset  •  priorities, lists &amp; gentle structure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50" t="str">
        <x:v>✦  WEEK OF OCT 19 – 25</x:v>
      </x:c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8" customHeight="1">
      <x:c r="A8" s="4"/>
      <x:c r="B8" s="42" t="str">
        <x:v>TO-DO LIST</x:v>
      </x:c>
      <x:c r="C8" s="42"/>
      <x:c r="D8" s="42"/>
      <x:c r="E8" s="42"/>
      <x:c r="F8" s="42"/>
      <x:c r="G8" s="42"/>
      <x:c r="H8" s="42"/>
      <x:c r="I8" s="42"/>
      <x:c r="J8" s="42"/>
      <x:c r="K8" s="4"/>
      <x:c r="L8" s="4"/>
      <x:c r="M8" s="29" t="str">
        <x:v>WEEKLY NOTES</x:v>
      </x:c>
      <x:c r="N8" s="29"/>
      <x:c r="O8" s="29"/>
      <x:c r="P8" s="29"/>
      <x:c r="Q8" s="4"/>
    </x:row>
    <x:row r="9" ht="24" customHeight="1">
      <x:c r="A9" s="4"/>
      <x:c r="B9" s="55" t="str">
        <x:v>Day</x:v>
      </x:c>
      <x:c r="C9" s="55" t="str">
        <x:v>Task</x:v>
      </x:c>
      <x:c r="D9" s="55" t="str">
        <x:v>Category</x:v>
      </x:c>
      <x:c r="E9" s="55" t="str">
        <x:v>Priority</x:v>
      </x:c>
      <x:c r="F9" s="55" t="str">
        <x:v>Due</x:v>
      </x:c>
      <x:c r="G9" s="55" t="str">
        <x:v>Notes</x:v>
      </x:c>
      <x:c r="H9" s="55" t="str">
        <x:v>Effort</x:v>
      </x:c>
      <x:c r="I9" s="55" t="str">
        <x:v>Joy</x:v>
      </x:c>
      <x:c r="J9" s="55" t="str">
        <x:v>Focus</x:v>
      </x:c>
      <x:c r="K9" s="55" t="str">
        <x:v>Status</x:v>
      </x:c>
      <x:c r="L9" s="4"/>
      <x:c r="M9" s="4"/>
      <x:c r="N9" s="4"/>
      <x:c r="O9" s="4"/>
      <x:c r="P9" s="4"/>
      <x:c r="Q9" s="4"/>
    </x:row>
    <x:row r="10" ht="24" customHeight="1">
      <x:c r="A10" s="4"/>
      <x:c r="B10" s="12" t="str">
        <x:v>Mon</x:v>
      </x:c>
      <x:c r="C10" s="12" t="str">
        <x:v>Set weekly intentions</x:v>
      </x:c>
      <x:c r="D10" s="12" t="str">
        <x:v>Personal</x:v>
      </x:c>
      <x:c r="E10" s="12" t="str">
        <x:v>High</x:v>
      </x:c>
      <x:c r="F10" s="12" t="str">
        <x:v>10/19</x:v>
      </x:c>
      <x:c r="G10" s="12" t="str">
        <x:v>journal + tea</x:v>
      </x:c>
      <x:c r="H10" s="12" t="n">
        <x:v>20</x:v>
      </x:c>
      <x:c r="I10" s="12" t="n">
        <x:v>5</x:v>
      </x:c>
      <x:c r="J10" s="12" t="n">
        <x:v>4</x:v>
      </x:c>
      <x:c r="K10" s="12" t="str">
        <x:v>Done</x:v>
      </x:c>
      <x:c r="L10" s="4"/>
      <x:c r="M10" s="20" t="str">
        <x:v>✿ main focus</x:v>
      </x:c>
      <x:c r="N10" s="20"/>
      <x:c r="O10" s="20"/>
      <x:c r="P10" s="20"/>
      <x:c r="Q10" s="4"/>
    </x:row>
    <x:row r="11" ht="24" customHeight="1">
      <x:c r="A11" s="4"/>
      <x:c r="B11" s="58" t="str">
        <x:v>Mon</x:v>
      </x:c>
      <x:c r="C11" s="58" t="str">
        <x:v>Go for a little walk</x:v>
      </x:c>
      <x:c r="D11" s="58" t="str">
        <x:v>Health</x:v>
      </x:c>
      <x:c r="E11" s="58" t="str">
        <x:v>Low</x:v>
      </x:c>
      <x:c r="F11" s="58" t="str">
        <x:v>10/19</x:v>
      </x:c>
      <x:c r="G11" s="58" t="str">
        <x:v>fresh air</x:v>
      </x:c>
      <x:c r="H11" s="58" t="n">
        <x:v>30</x:v>
      </x:c>
      <x:c r="I11" s="58" t="n">
        <x:v>5</x:v>
      </x:c>
      <x:c r="J11" s="58" t="n">
        <x:v>3</x:v>
      </x:c>
      <x:c r="K11" s="58" t="str">
        <x:v>Done</x:v>
      </x:c>
      <x:c r="L11" s="4"/>
      <x:c r="M11" s="12"/>
      <x:c r="N11" s="12"/>
      <x:c r="O11" s="12"/>
      <x:c r="P11" s="12"/>
      <x:c r="Q11" s="4"/>
    </x:row>
    <x:row r="12" ht="24" customHeight="1">
      <x:c r="A12" s="4"/>
      <x:c r="B12" s="12" t="str">
        <x:v>Tue</x:v>
      </x:c>
      <x:c r="C12" s="12" t="str">
        <x:v>Tidy desk</x:v>
      </x:c>
      <x:c r="D12" s="12" t="str">
        <x:v>Home</x:v>
      </x:c>
      <x:c r="E12" s="12" t="str">
        <x:v>Medium</x:v>
      </x:c>
      <x:c r="F12" s="12" t="str">
        <x:v>10/20</x:v>
      </x:c>
      <x:c r="G12" s="12" t="str">
        <x:v>one surface</x:v>
      </x:c>
      <x:c r="H12" s="12" t="n">
        <x:v>15</x:v>
      </x:c>
      <x:c r="I12" s="12" t="n">
        <x:v>4</x:v>
      </x:c>
      <x:c r="J12" s="12" t="n">
        <x:v>3</x:v>
      </x:c>
      <x:c r="K12" s="12" t="str">
        <x:v>In progress</x:v>
      </x:c>
      <x:c r="L12" s="4"/>
      <x:c r="M12" s="12"/>
      <x:c r="N12" s="12"/>
      <x:c r="O12" s="12"/>
      <x:c r="P12" s="12"/>
      <x:c r="Q12" s="4"/>
    </x:row>
    <x:row r="13" ht="24" customHeight="1">
      <x:c r="A13" s="4"/>
      <x:c r="B13" s="58" t="str">
        <x:v>Tue</x:v>
      </x:c>
      <x:c r="C13" s="58" t="str">
        <x:v>Read 20 pages</x:v>
      </x:c>
      <x:c r="D13" s="58" t="str">
        <x:v>Personal</x:v>
      </x:c>
      <x:c r="E13" s="58" t="str">
        <x:v>Low</x:v>
      </x:c>
      <x:c r="F13" s="58" t="str">
        <x:v>10/20</x:v>
      </x:c>
      <x:c r="G13" s="58" t="str">
        <x:v>cozy evening</x:v>
      </x:c>
      <x:c r="H13" s="58" t="n">
        <x:v>25</x:v>
      </x:c>
      <x:c r="I13" s="58" t="n">
        <x:v>5</x:v>
      </x:c>
      <x:c r="J13" s="58" t="n">
        <x:v>3</x:v>
      </x:c>
      <x:c r="K13" s="58" t="str">
        <x:v>Not started</x:v>
      </x:c>
      <x:c r="L13" s="4"/>
      <x:c r="M13" s="4"/>
      <x:c r="N13" s="4"/>
      <x:c r="O13" s="4"/>
      <x:c r="P13" s="4"/>
      <x:c r="Q13" s="4"/>
    </x:row>
    <x:row r="14" ht="24" customHeight="1">
      <x:c r="A14" s="4"/>
      <x:c r="B14" s="12" t="str">
        <x:v>Wed</x:v>
      </x:c>
      <x:c r="C14" s="12" t="str">
        <x:v>Review budget</x:v>
      </x:c>
      <x:c r="D14" s="12" t="str">
        <x:v>Money</x:v>
      </x:c>
      <x:c r="E14" s="12" t="str">
        <x:v>High</x:v>
      </x:c>
      <x:c r="F14" s="12" t="str">
        <x:v>10/21</x:v>
      </x:c>
      <x:c r="G14" s="12" t="str">
        <x:v>subscriptions</x:v>
      </x:c>
      <x:c r="H14" s="12" t="n">
        <x:v>25</x:v>
      </x:c>
      <x:c r="I14" s="12" t="n">
        <x:v>3</x:v>
      </x:c>
      <x:c r="J14" s="12" t="n">
        <x:v>5</x:v>
      </x:c>
      <x:c r="K14" s="12" t="str">
        <x:v>Not started</x:v>
      </x:c>
      <x:c r="L14" s="4"/>
      <x:c r="M14" s="20" t="str">
        <x:v>☼ something lovely</x:v>
      </x:c>
      <x:c r="N14" s="20"/>
      <x:c r="O14" s="20"/>
      <x:c r="P14" s="20"/>
      <x:c r="Q14" s="4"/>
    </x:row>
    <x:row r="15" ht="24" customHeight="1">
      <x:c r="A15" s="4"/>
      <x:c r="B15" s="58" t="str">
        <x:v>Wed</x:v>
      </x:c>
      <x:c r="C15" s="58" t="str">
        <x:v>Water plants</x:v>
      </x:c>
      <x:c r="D15" s="58" t="str">
        <x:v>Home</x:v>
      </x:c>
      <x:c r="E15" s="58" t="str">
        <x:v>Low</x:v>
      </x:c>
      <x:c r="F15" s="58" t="str">
        <x:v>10/21</x:v>
      </x:c>
      <x:c r="G15" s="58" t="str">
        <x:v>all the green babies</x:v>
      </x:c>
      <x:c r="H15" s="58" t="n">
        <x:v>10</x:v>
      </x:c>
      <x:c r="I15" s="58" t="n">
        <x:v>4</x:v>
      </x:c>
      <x:c r="J15" s="58" t="n">
        <x:v>2</x:v>
      </x:c>
      <x:c r="K15" s="58" t="str">
        <x:v>Done</x:v>
      </x:c>
      <x:c r="L15" s="4"/>
      <x:c r="M15" s="12"/>
      <x:c r="N15" s="12"/>
      <x:c r="O15" s="12"/>
      <x:c r="P15" s="12"/>
      <x:c r="Q15" s="4"/>
    </x:row>
    <x:row r="16" ht="24" customHeight="1">
      <x:c r="A16" s="4"/>
      <x:c r="B16" s="12" t="str">
        <x:v>Thu</x:v>
      </x:c>
      <x:c r="C16" s="12" t="str">
        <x:v>Stretch</x:v>
      </x:c>
      <x:c r="D16" s="12" t="str">
        <x:v>Health</x:v>
      </x:c>
      <x:c r="E16" s="12" t="str">
        <x:v>Medium</x:v>
      </x:c>
      <x:c r="F16" s="12" t="str">
        <x:v>10/22</x:v>
      </x:c>
      <x:c r="G16" s="12" t="str">
        <x:v>15 minutes</x:v>
      </x:c>
      <x:c r="H16" s="12" t="n">
        <x:v>15</x:v>
      </x:c>
      <x:c r="I16" s="12" t="n">
        <x:v>4</x:v>
      </x:c>
      <x:c r="J16" s="12" t="n">
        <x:v>2</x:v>
      </x:c>
      <x:c r="K16" s="12" t="str">
        <x:v>Not started</x:v>
      </x:c>
      <x:c r="L16" s="4"/>
      <x:c r="M16" s="12"/>
      <x:c r="N16" s="12"/>
      <x:c r="O16" s="12"/>
      <x:c r="P16" s="12"/>
      <x:c r="Q16" s="4"/>
    </x:row>
    <x:row r="17" ht="24" customHeight="1">
      <x:c r="A17" s="4"/>
      <x:c r="B17" s="58" t="str">
        <x:v>Thu</x:v>
      </x:c>
      <x:c r="C17" s="58" t="str">
        <x:v>Creative hour</x:v>
      </x:c>
      <x:c r="D17" s="58" t="str">
        <x:v>Creative</x:v>
      </x:c>
      <x:c r="E17" s="58" t="str">
        <x:v>Medium</x:v>
      </x:c>
      <x:c r="F17" s="58" t="str">
        <x:v>10/22</x:v>
      </x:c>
      <x:c r="G17" s="58" t="str">
        <x:v>draw flowers</x:v>
      </x:c>
      <x:c r="H17" s="58" t="n">
        <x:v>60</x:v>
      </x:c>
      <x:c r="I17" s="58" t="n">
        <x:v>5</x:v>
      </x:c>
      <x:c r="J17" s="58" t="n">
        <x:v>4</x:v>
      </x:c>
      <x:c r="K17" s="58" t="str">
        <x:v>Not started</x:v>
      </x:c>
      <x:c r="L17" s="4"/>
      <x:c r="M17" s="4"/>
      <x:c r="N17" s="4"/>
      <x:c r="O17" s="4"/>
      <x:c r="P17" s="4"/>
      <x:c r="Q17" s="4"/>
    </x:row>
    <x:row r="18" ht="24" customHeight="1">
      <x:c r="A18" s="4"/>
      <x:c r="B18" s="12" t="str">
        <x:v>Fri</x:v>
      </x:c>
      <x:c r="C18" s="12" t="str">
        <x:v>Plan weekend</x:v>
      </x:c>
      <x:c r="D18" s="12" t="str">
        <x:v>Personal</x:v>
      </x:c>
      <x:c r="E18" s="12" t="str">
        <x:v>Low</x:v>
      </x:c>
      <x:c r="F18" s="12" t="str">
        <x:v>10/23</x:v>
      </x:c>
      <x:c r="G18" s="12" t="str">
        <x:v>simple plans</x:v>
      </x:c>
      <x:c r="H18" s="12" t="n">
        <x:v>15</x:v>
      </x:c>
      <x:c r="I18" s="12" t="n">
        <x:v>4</x:v>
      </x:c>
      <x:c r="J18" s="12" t="n">
        <x:v>2</x:v>
      </x:c>
      <x:c r="K18" s="12" t="str">
        <x:v>Not started</x:v>
      </x:c>
      <x:c r="L18" s="4"/>
      <x:c r="M18" s="20" t="str">
        <x:v>♡ gratitude</x:v>
      </x:c>
      <x:c r="N18" s="20"/>
      <x:c r="O18" s="20"/>
      <x:c r="P18" s="20"/>
      <x:c r="Q18" s="4"/>
    </x:row>
    <x:row r="19" ht="24" customHeight="1">
      <x:c r="A19" s="4"/>
      <x:c r="B19" s="58" t="str">
        <x:v>Fri</x:v>
      </x:c>
      <x:c r="C19" s="58" t="str">
        <x:v>Inbox cleanup</x:v>
      </x:c>
      <x:c r="D19" s="58" t="str">
        <x:v>Work</x:v>
      </x:c>
      <x:c r="E19" s="58" t="str">
        <x:v>High</x:v>
      </x:c>
      <x:c r="F19" s="58" t="str">
        <x:v>10/23</x:v>
      </x:c>
      <x:c r="G19" s="58" t="str">
        <x:v>reply to important</x:v>
      </x:c>
      <x:c r="H19" s="58" t="n">
        <x:v>30</x:v>
      </x:c>
      <x:c r="I19" s="58" t="n">
        <x:v>2</x:v>
      </x:c>
      <x:c r="J19" s="58" t="n">
        <x:v>5</x:v>
      </x:c>
      <x:c r="K19" s="58" t="str">
        <x:v>Not started</x:v>
      </x:c>
      <x:c r="L19" s="4"/>
      <x:c r="M19" s="12"/>
      <x:c r="N19" s="12"/>
      <x:c r="O19" s="12"/>
      <x:c r="P19" s="12"/>
      <x:c r="Q19" s="4"/>
    </x:row>
    <x:row r="20" ht="24" customHeight="1">
      <x:c r="A20" s="4"/>
      <x:c r="B20" s="12" t="str">
        <x:v>Sat</x:v>
      </x:c>
      <x:c r="C20" s="12" t="str">
        <x:v>Coffee date</x:v>
      </x:c>
      <x:c r="D20" s="12" t="str">
        <x:v>Personal</x:v>
      </x:c>
      <x:c r="E20" s="12" t="str">
        <x:v>Medium</x:v>
      </x:c>
      <x:c r="F20" s="12" t="str">
        <x:v>10/24</x:v>
      </x:c>
      <x:c r="G20" s="12" t="str">
        <x:v>enjoy</x:v>
      </x:c>
      <x:c r="H20" s="12" t="n">
        <x:v>90</x:v>
      </x:c>
      <x:c r="I20" s="12" t="n">
        <x:v>5</x:v>
      </x:c>
      <x:c r="J20" s="12" t="n">
        <x:v>2</x:v>
      </x:c>
      <x:c r="K20" s="12" t="str">
        <x:v>Not started</x:v>
      </x:c>
      <x:c r="L20" s="4"/>
      <x:c r="M20" s="12"/>
      <x:c r="N20" s="12"/>
      <x:c r="O20" s="12"/>
      <x:c r="P20" s="12"/>
      <x:c r="Q20" s="4"/>
    </x:row>
    <x:row r="21" ht="24" customHeight="1">
      <x:c r="A21" s="4"/>
      <x:c r="B21" s="58" t="str">
        <x:v>Sat</x:v>
      </x:c>
      <x:c r="C21" s="58" t="str">
        <x:v>Laundry + reset</x:v>
      </x:c>
      <x:c r="D21" s="58" t="str">
        <x:v>Home</x:v>
      </x:c>
      <x:c r="E21" s="58" t="str">
        <x:v>Low</x:v>
      </x:c>
      <x:c r="F21" s="58" t="str">
        <x:v>10/24</x:v>
      </x:c>
      <x:c r="G21" s="58" t="str">
        <x:v>fresh sheets</x:v>
      </x:c>
      <x:c r="H21" s="58" t="n">
        <x:v>45</x:v>
      </x:c>
      <x:c r="I21" s="58" t="n">
        <x:v>3</x:v>
      </x:c>
      <x:c r="J21" s="58" t="n">
        <x:v>2</x:v>
      </x:c>
      <x:c r="K21" s="58" t="str">
        <x:v>Not started</x:v>
      </x:c>
      <x:c r="L21" s="4"/>
      <x:c r="M21" s="4"/>
      <x:c r="N21" s="4"/>
      <x:c r="O21" s="4"/>
      <x:c r="P21" s="4"/>
      <x:c r="Q21" s="4"/>
    </x:row>
    <x:row r="22" ht="24" customHeight="1">
      <x:c r="A22" s="4"/>
      <x:c r="B22" s="12" t="str">
        <x:v>Sun</x:v>
      </x:c>
      <x:c r="C22" s="12" t="str">
        <x:v>Weekly reflection</x:v>
      </x:c>
      <x:c r="D22" s="12" t="str">
        <x:v>Personal</x:v>
      </x:c>
      <x:c r="E22" s="12" t="str">
        <x:v>Medium</x:v>
      </x:c>
      <x:c r="F22" s="12" t="str">
        <x:v>10/25</x:v>
      </x:c>
      <x:c r="G22" s="12" t="str">
        <x:v>write 3 wins</x:v>
      </x:c>
      <x:c r="H22" s="12" t="n">
        <x:v>20</x:v>
      </x:c>
      <x:c r="I22" s="12" t="n">
        <x:v>5</x:v>
      </x:c>
      <x:c r="J22" s="12" t="n">
        <x:v>3</x:v>
      </x:c>
      <x:c r="K22" s="12" t="str">
        <x:v>Not started</x:v>
      </x:c>
      <x:c r="L22" s="4"/>
      <x:c r="M22" s="20" t="str">
        <x:v>☆ small win</x:v>
      </x:c>
      <x:c r="N22" s="20"/>
      <x:c r="O22" s="20"/>
      <x:c r="P22" s="20"/>
      <x:c r="Q22" s="4"/>
    </x:row>
    <x:row r="23" ht="24" customHeight="1">
      <x:c r="A23" s="4"/>
      <x:c r="B23" s="58" t="str">
        <x:v>Sun</x:v>
      </x:c>
      <x:c r="C23" s="58" t="str">
        <x:v>Meal prep</x:v>
      </x:c>
      <x:c r="D23" s="58" t="str">
        <x:v>Health</x:v>
      </x:c>
      <x:c r="E23" s="58" t="str">
        <x:v>Medium</x:v>
      </x:c>
      <x:c r="F23" s="58" t="str">
        <x:v>10/25</x:v>
      </x:c>
      <x:c r="G23" s="58" t="str">
        <x:v>easy lunches</x:v>
      </x:c>
      <x:c r="H23" s="58" t="n">
        <x:v>45</x:v>
      </x:c>
      <x:c r="I23" s="58" t="n">
        <x:v>3</x:v>
      </x:c>
      <x:c r="J23" s="58" t="n">
        <x:v>3</x:v>
      </x:c>
      <x:c r="K23" s="58" t="str">
        <x:v>Not started</x:v>
      </x:c>
      <x:c r="L23" s="4"/>
      <x:c r="M23" s="12"/>
      <x:c r="N23" s="12"/>
      <x:c r="O23" s="12"/>
      <x:c r="P23" s="12"/>
      <x:c r="Q23" s="4"/>
    </x:row>
    <x:row r="24" ht="24" customHeight="1">
      <x:c r="A24" s="4"/>
      <x:c r="B24" s="12" t="str">
        <x:v>Sun</x:v>
      </x:c>
      <x:c r="C24" s="12" t="str">
        <x:v>Book time</x:v>
      </x:c>
      <x:c r="D24" s="12" t="str">
        <x:v>Personal</x:v>
      </x:c>
      <x:c r="E24" s="12" t="str">
        <x:v>Low</x:v>
      </x:c>
      <x:c r="F24" s="12" t="str">
        <x:v>10/25</x:v>
      </x:c>
      <x:c r="G24" s="12" t="str">
        <x:v>finish chapter</x:v>
      </x:c>
      <x:c r="H24" s="12" t="n">
        <x:v>30</x:v>
      </x:c>
      <x:c r="I24" s="12" t="n">
        <x:v>5</x:v>
      </x:c>
      <x:c r="J24" s="12" t="n">
        <x:v>2</x:v>
      </x:c>
      <x:c r="K24" s="12" t="str">
        <x:v>Not started</x:v>
      </x:c>
      <x:c r="L24" s="4"/>
      <x:c r="M24" s="12"/>
      <x:c r="N24" s="12"/>
      <x:c r="O24" s="12"/>
      <x:c r="P24" s="12"/>
      <x:c r="Q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8" customHeight="1">
      <x:c r="A27" s="4"/>
      <x:c r="B27" s="50" t="str">
        <x:v>✧  WEEKLY PROGRESS</x:v>
      </x:c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4"/>
      <x:c r="B29" s="12" t="str">
        <x:v>Tasks done</x:v>
      </x:c>
      <x:c r="C29" s="12"/>
      <x:c r="D29" s="12"/>
      <x:c r="E29" s="12"/>
      <x:c r="F29" s="12"/>
      <x:c r="G29" s="4" t="n">
        <x:f>COUNTIF(K10:K24,"Done")</x:f>
        <x:v>3</x:v>
      </x:c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4" customHeight="1">
      <x:c r="A31" s="4"/>
      <x:c r="B31" s="12" t="str">
        <x:v>Completion rate</x:v>
      </x:c>
      <x:c r="C31" s="12"/>
      <x:c r="D31" s="12"/>
      <x:c r="E31" s="12"/>
      <x:c r="F31" s="12"/>
      <x:c r="G31" s="60" t="n">
        <x:f>IFERROR(COUNTIF(K10:K24,"Done")/COUNTA(C10:C24),0)</x:f>
        <x:v>0.2</x:v>
      </x:c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P6"/>
    <x:mergeCell ref="B8:J8"/>
    <x:mergeCell ref="M8:P8"/>
    <x:mergeCell ref="M10:P10"/>
    <x:mergeCell ref="M14:P14"/>
    <x:mergeCell ref="M18:P18"/>
    <x:mergeCell ref="M22:P22"/>
    <x:mergeCell ref="B27:P27"/>
    <x:mergeCell ref="B29:F29"/>
    <x:mergeCell ref="B31:F31"/>
  </x:mergeCells>
  <x:conditionalFormatting sqref="K10:K24">
    <x:cfRule type="expression" dxfId="0" priority="1">
      <x:formula>K10="Done"</x:formula>
    </x:cfRule>
    <x:cfRule type="expression" dxfId="1" priority="2">
      <x:formula>K10="In progress"</x:formula>
    </x:cfRule>
  </x:conditionalFormatting>
  <x:dataValidations count="2">
    <x:dataValidation type="list" sqref="K10:K24">
      <x:formula1>"Not started,In progress,Done"</x:formula1>
    </x:dataValidation>
    <x:dataValidation type="list" sqref="E10:E24">
      <x:formula1>"Low,Medium,High"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  <x:col min="30" max="30" width="4.5" hidden="0" customWidth="1"/>
    <x:col min="31" max="31" width="4.5" hidden="0" customWidth="1"/>
    <x:col min="32" max="32" width="4.5" hidden="0" customWidth="1"/>
    <x:col min="33" max="33" width="4.5" hidden="0" customWidth="1"/>
    <x:col min="34" max="34" width="10" hidden="0" customWidth="1"/>
    <x:col min="35" max="35" width="10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62" t="str">
        <x:v>03 · HABITS  ✿</x:v>
      </x:c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4"/>
    </x:row>
    <x:row r="3" ht="25" customHeight="1">
      <x:c r="A3" s="4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4"/>
    </x:row>
    <x:row r="4" ht="24" customHeight="1">
      <x:c r="A4" s="4"/>
      <x:c r="B4" s="13" t="str">
        <x:v>tiny rituals  •  mark 1 for done and 0 for skipped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42" t="str">
        <x:v>✦  OCTOBER HABIT GRID   •   1 = done, 0 = skipped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4" customHeight="1">
      <x:c r="A8" s="4"/>
      <x:c r="B8" s="54" t="str">
        <x:v>HABIT</x:v>
      </x:c>
      <x:c r="C8" s="64" t="n">
        <x:v>1</x:v>
      </x:c>
      <x:c r="D8" s="64" t="n">
        <x:v>2</x:v>
      </x:c>
      <x:c r="E8" s="67" t="n">
        <x:v>3</x:v>
      </x:c>
      <x:c r="F8" s="67" t="n">
        <x:v>4</x:v>
      </x:c>
      <x:c r="G8" s="64" t="n">
        <x:v>5</x:v>
      </x:c>
      <x:c r="H8" s="64" t="n">
        <x:v>6</x:v>
      </x:c>
      <x:c r="I8" s="64" t="n">
        <x:v>7</x:v>
      </x:c>
      <x:c r="J8" s="64" t="n">
        <x:v>8</x:v>
      </x:c>
      <x:c r="K8" s="64" t="n">
        <x:v>9</x:v>
      </x:c>
      <x:c r="L8" s="67" t="n">
        <x:v>10</x:v>
      </x:c>
      <x:c r="M8" s="67" t="n">
        <x:v>11</x:v>
      </x:c>
      <x:c r="N8" s="64" t="n">
        <x:v>12</x:v>
      </x:c>
      <x:c r="O8" s="64" t="n">
        <x:v>13</x:v>
      </x:c>
      <x:c r="P8" s="64" t="n">
        <x:v>14</x:v>
      </x:c>
      <x:c r="Q8" s="64" t="n">
        <x:v>15</x:v>
      </x:c>
      <x:c r="R8" s="72" t="n">
        <x:v>16</x:v>
      </x:c>
      <x:c r="S8" s="78" t="n">
        <x:v>17</x:v>
      </x:c>
      <x:c r="T8" s="78" t="n">
        <x:v>18</x:v>
      </x:c>
      <x:c r="U8" s="72" t="n">
        <x:v>19</x:v>
      </x:c>
      <x:c r="V8" s="72" t="n">
        <x:v>20</x:v>
      </x:c>
      <x:c r="W8" s="72" t="n">
        <x:v>21</x:v>
      </x:c>
      <x:c r="X8" s="72" t="n">
        <x:v>22</x:v>
      </x:c>
      <x:c r="Y8" s="72" t="n">
        <x:v>23</x:v>
      </x:c>
      <x:c r="Z8" s="78" t="n">
        <x:v>24</x:v>
      </x:c>
      <x:c r="AA8" s="78" t="n">
        <x:v>25</x:v>
      </x:c>
      <x:c r="AB8" s="72" t="n">
        <x:v>26</x:v>
      </x:c>
      <x:c r="AC8" s="72" t="n">
        <x:v>27</x:v>
      </x:c>
      <x:c r="AD8" s="72" t="n">
        <x:v>28</x:v>
      </x:c>
      <x:c r="AE8" s="72" t="n">
        <x:v>29</x:v>
      </x:c>
      <x:c r="AF8" s="72" t="n">
        <x:v>30</x:v>
      </x:c>
      <x:c r="AG8" s="78" t="n">
        <x:v>31</x:v>
      </x:c>
      <x:c r="AH8" s="89" t="str">
        <x:v>TOTAL</x:v>
      </x:c>
      <x:c r="AI8" s="89" t="str">
        <x:v>%</x:v>
      </x:c>
    </x:row>
    <x:row r="9" ht="24" customHeight="1">
      <x:c r="A9" s="4"/>
      <x:c r="B9" s="4" t="str">
        <x:v>Drink water</x:v>
      </x:c>
      <x:c r="C9" s="83" t="n">
        <x:v>1</x:v>
      </x:c>
      <x:c r="D9" s="83" t="n">
        <x:v>1</x:v>
      </x:c>
      <x:c r="E9" s="83" t="n">
        <x:v>1</x:v>
      </x:c>
      <x:c r="F9" s="83" t="n">
        <x:v>1</x:v>
      </x:c>
      <x:c r="G9" s="83" t="n">
        <x:v>0</x:v>
      </x:c>
      <x:c r="H9" s="83" t="n">
        <x:v>1</x:v>
      </x:c>
      <x:c r="I9" s="83" t="n">
        <x:v>0</x:v>
      </x:c>
      <x:c r="J9" s="83" t="n">
        <x:v>1</x:v>
      </x:c>
      <x:c r="K9" s="83" t="n">
        <x:v>1</x:v>
      </x:c>
      <x:c r="L9" s="83" t="n">
        <x:v>1</x:v>
      </x:c>
      <x:c r="M9" s="83" t="n">
        <x:v>1</x:v>
      </x:c>
      <x:c r="N9" s="83" t="n">
        <x:v>0</x:v>
      </x:c>
      <x:c r="O9" s="83" t="n">
        <x:v>1</x:v>
      </x:c>
      <x:c r="P9" s="83" t="n">
        <x:v>0</x:v>
      </x:c>
      <x:c r="Q9" s="83" t="n">
        <x:v>1</x:v>
      </x:c>
      <x:c r="R9" s="84" t="n">
        <x:v>1</x:v>
      </x:c>
      <x:c r="S9" s="84" t="n">
        <x:v>1</x:v>
      </x:c>
      <x:c r="T9" s="84" t="n">
        <x:v>1</x:v>
      </x:c>
      <x:c r="U9" s="84" t="n">
        <x:v>0</x:v>
      </x:c>
      <x:c r="V9" s="84" t="n">
        <x:v>1</x:v>
      </x:c>
      <x:c r="W9" s="84" t="n">
        <x:v>0</x:v>
      </x:c>
      <x:c r="X9" s="84" t="n">
        <x:v>1</x:v>
      </x:c>
      <x:c r="Y9" s="84" t="n">
        <x:v>1</x:v>
      </x:c>
      <x:c r="Z9" s="84" t="n">
        <x:v>1</x:v>
      </x:c>
      <x:c r="AA9" s="84" t="n">
        <x:v>1</x:v>
      </x:c>
      <x:c r="AB9" s="84" t="n">
        <x:v>0</x:v>
      </x:c>
      <x:c r="AC9" s="84" t="n">
        <x:v>1</x:v>
      </x:c>
      <x:c r="AD9" s="84" t="n">
        <x:v>0</x:v>
      </x:c>
      <x:c r="AE9" s="84" t="n">
        <x:v>1</x:v>
      </x:c>
      <x:c r="AF9" s="84" t="n">
        <x:v>1</x:v>
      </x:c>
      <x:c r="AG9" s="84" t="n">
        <x:v>1</x:v>
      </x:c>
      <x:c r="AH9" t="n">
        <x:f>COUNTIF(C9:AG9,1)</x:f>
        <x:v>23</x:v>
      </x:c>
      <x:c r="AI9" s="92" t="n">
        <x:f>AH9/31</x:f>
        <x:v>0.7419354838709677</x:v>
      </x:c>
    </x:row>
    <x:row r="10" ht="24" customHeight="1">
      <x:c r="A10" s="4"/>
      <x:c r="B10" s="4" t="str">
        <x:v>Read a little</x:v>
      </x:c>
      <x:c r="C10" s="83" t="n">
        <x:v>1</x:v>
      </x:c>
      <x:c r="D10" s="83" t="n">
        <x:v>0</x:v>
      </x:c>
      <x:c r="E10" s="83" t="n">
        <x:v>1</x:v>
      </x:c>
      <x:c r="F10" s="83" t="n">
        <x:v>0</x:v>
      </x:c>
      <x:c r="G10" s="83" t="n">
        <x:v>1</x:v>
      </x:c>
      <x:c r="H10" s="83" t="n">
        <x:v>1</x:v>
      </x:c>
      <x:c r="I10" s="83" t="n">
        <x:v>1</x:v>
      </x:c>
      <x:c r="J10" s="83" t="n">
        <x:v>1</x:v>
      </x:c>
      <x:c r="K10" s="83" t="n">
        <x:v>0</x:v>
      </x:c>
      <x:c r="L10" s="83" t="n">
        <x:v>1</x:v>
      </x:c>
      <x:c r="M10" s="83" t="n">
        <x:v>0</x:v>
      </x:c>
      <x:c r="N10" s="83" t="n">
        <x:v>1</x:v>
      </x:c>
      <x:c r="O10" s="83" t="n">
        <x:v>1</x:v>
      </x:c>
      <x:c r="P10" s="83" t="n">
        <x:v>1</x:v>
      </x:c>
      <x:c r="Q10" s="83" t="n">
        <x:v>1</x:v>
      </x:c>
      <x:c r="R10" s="84" t="n">
        <x:v>0</x:v>
      </x:c>
      <x:c r="S10" s="84" t="n">
        <x:v>1</x:v>
      </x:c>
      <x:c r="T10" s="84" t="n">
        <x:v>0</x:v>
      </x:c>
      <x:c r="U10" s="84" t="n">
        <x:v>1</x:v>
      </x:c>
      <x:c r="V10" s="84" t="n">
        <x:v>1</x:v>
      </x:c>
      <x:c r="W10" s="84" t="n">
        <x:v>1</x:v>
      </x:c>
      <x:c r="X10" s="84" t="n">
        <x:v>1</x:v>
      </x:c>
      <x:c r="Y10" s="84" t="n">
        <x:v>0</x:v>
      </x:c>
      <x:c r="Z10" s="84" t="n">
        <x:v>1</x:v>
      </x:c>
      <x:c r="AA10" s="84" t="n">
        <x:v>0</x:v>
      </x:c>
      <x:c r="AB10" s="84" t="n">
        <x:v>1</x:v>
      </x:c>
      <x:c r="AC10" s="84" t="n">
        <x:v>1</x:v>
      </x:c>
      <x:c r="AD10" s="84" t="n">
        <x:v>1</x:v>
      </x:c>
      <x:c r="AE10" s="84" t="n">
        <x:v>1</x:v>
      </x:c>
      <x:c r="AF10" s="84" t="n">
        <x:v>0</x:v>
      </x:c>
      <x:c r="AG10" s="84" t="n">
        <x:v>1</x:v>
      </x:c>
      <x:c r="AH10" t="n">
        <x:f>COUNTIF(C10:AG10,1)</x:f>
        <x:v>22</x:v>
      </x:c>
      <x:c r="AI10" s="92" t="n">
        <x:f>AH10/31</x:f>
        <x:v>0.7096774193548387</x:v>
      </x:c>
    </x:row>
    <x:row r="11" ht="24" customHeight="1">
      <x:c r="A11" s="4"/>
      <x:c r="B11" s="4" t="str">
        <x:v>Move body</x:v>
      </x:c>
      <x:c r="C11" s="83" t="n">
        <x:v>0</x:v>
      </x:c>
      <x:c r="D11" s="83" t="n">
        <x:v>1</x:v>
      </x:c>
      <x:c r="E11" s="83" t="n">
        <x:v>1</x:v>
      </x:c>
      <x:c r="F11" s="83" t="n">
        <x:v>1</x:v>
      </x:c>
      <x:c r="G11" s="83" t="n">
        <x:v>1</x:v>
      </x:c>
      <x:c r="H11" s="83" t="n">
        <x:v>0</x:v>
      </x:c>
      <x:c r="I11" s="83" t="n">
        <x:v>1</x:v>
      </x:c>
      <x:c r="J11" s="83" t="n">
        <x:v>0</x:v>
      </x:c>
      <x:c r="K11" s="83" t="n">
        <x:v>1</x:v>
      </x:c>
      <x:c r="L11" s="83" t="n">
        <x:v>1</x:v>
      </x:c>
      <x:c r="M11" s="83" t="n">
        <x:v>1</x:v>
      </x:c>
      <x:c r="N11" s="83" t="n">
        <x:v>1</x:v>
      </x:c>
      <x:c r="O11" s="83" t="n">
        <x:v>0</x:v>
      </x:c>
      <x:c r="P11" s="83" t="n">
        <x:v>1</x:v>
      </x:c>
      <x:c r="Q11" s="83" t="n">
        <x:v>0</x:v>
      </x:c>
      <x:c r="R11" s="84" t="n">
        <x:v>1</x:v>
      </x:c>
      <x:c r="S11" s="84" t="n">
        <x:v>1</x:v>
      </x:c>
      <x:c r="T11" s="84" t="n">
        <x:v>1</x:v>
      </x:c>
      <x:c r="U11" s="84" t="n">
        <x:v>1</x:v>
      </x:c>
      <x:c r="V11" s="84" t="n">
        <x:v>0</x:v>
      </x:c>
      <x:c r="W11" s="84" t="n">
        <x:v>1</x:v>
      </x:c>
      <x:c r="X11" s="84" t="n">
        <x:v>0</x:v>
      </x:c>
      <x:c r="Y11" s="84" t="n">
        <x:v>1</x:v>
      </x:c>
      <x:c r="Z11" s="84" t="n">
        <x:v>1</x:v>
      </x:c>
      <x:c r="AA11" s="84" t="n">
        <x:v>1</x:v>
      </x:c>
      <x:c r="AB11" s="84" t="n">
        <x:v>1</x:v>
      </x:c>
      <x:c r="AC11" s="84" t="n">
        <x:v>0</x:v>
      </x:c>
      <x:c r="AD11" s="84" t="n">
        <x:v>1</x:v>
      </x:c>
      <x:c r="AE11" s="84" t="n">
        <x:v>0</x:v>
      </x:c>
      <x:c r="AF11" s="84" t="n">
        <x:v>1</x:v>
      </x:c>
      <x:c r="AG11" s="84" t="n">
        <x:v>1</x:v>
      </x:c>
      <x:c r="AH11" t="n">
        <x:f>COUNTIF(C11:AG11,1)</x:f>
        <x:v>22</x:v>
      </x:c>
      <x:c r="AI11" s="92" t="n">
        <x:f>AH11/31</x:f>
        <x:v>0.7096774193548387</x:v>
      </x:c>
    </x:row>
    <x:row r="12" ht="24" customHeight="1">
      <x:c r="A12" s="4"/>
      <x:c r="B12" s="4" t="str">
        <x:v>Create something</x:v>
      </x:c>
      <x:c r="C12" s="83" t="n">
        <x:v>1</x:v>
      </x:c>
      <x:c r="D12" s="83" t="n">
        <x:v>1</x:v>
      </x:c>
      <x:c r="E12" s="83" t="n">
        <x:v>0</x:v>
      </x:c>
      <x:c r="F12" s="83" t="n">
        <x:v>1</x:v>
      </x:c>
      <x:c r="G12" s="83" t="n">
        <x:v>0</x:v>
      </x:c>
      <x:c r="H12" s="83" t="n">
        <x:v>1</x:v>
      </x:c>
      <x:c r="I12" s="83" t="n">
        <x:v>1</x:v>
      </x:c>
      <x:c r="J12" s="83" t="n">
        <x:v>1</x:v>
      </x:c>
      <x:c r="K12" s="83" t="n">
        <x:v>1</x:v>
      </x:c>
      <x:c r="L12" s="83" t="n">
        <x:v>0</x:v>
      </x:c>
      <x:c r="M12" s="83" t="n">
        <x:v>1</x:v>
      </x:c>
      <x:c r="N12" s="83" t="n">
        <x:v>0</x:v>
      </x:c>
      <x:c r="O12" s="83" t="n">
        <x:v>1</x:v>
      </x:c>
      <x:c r="P12" s="83" t="n">
        <x:v>1</x:v>
      </x:c>
      <x:c r="Q12" s="83" t="n">
        <x:v>1</x:v>
      </x:c>
      <x:c r="R12" s="84" t="n">
        <x:v>1</x:v>
      </x:c>
      <x:c r="S12" s="84" t="n">
        <x:v>0</x:v>
      </x:c>
      <x:c r="T12" s="84" t="n">
        <x:v>1</x:v>
      </x:c>
      <x:c r="U12" s="84" t="n">
        <x:v>0</x:v>
      </x:c>
      <x:c r="V12" s="84" t="n">
        <x:v>1</x:v>
      </x:c>
      <x:c r="W12" s="84" t="n">
        <x:v>1</x:v>
      </x:c>
      <x:c r="X12" s="84" t="n">
        <x:v>1</x:v>
      </x:c>
      <x:c r="Y12" s="84" t="n">
        <x:v>1</x:v>
      </x:c>
      <x:c r="Z12" s="84" t="n">
        <x:v>0</x:v>
      </x:c>
      <x:c r="AA12" s="84" t="n">
        <x:v>1</x:v>
      </x:c>
      <x:c r="AB12" s="84" t="n">
        <x:v>0</x:v>
      </x:c>
      <x:c r="AC12" s="84" t="n">
        <x:v>1</x:v>
      </x:c>
      <x:c r="AD12" s="84" t="n">
        <x:v>1</x:v>
      </x:c>
      <x:c r="AE12" s="84" t="n">
        <x:v>1</x:v>
      </x:c>
      <x:c r="AF12" s="84" t="n">
        <x:v>1</x:v>
      </x:c>
      <x:c r="AG12" s="84" t="n">
        <x:v>0</x:v>
      </x:c>
      <x:c r="AH12" t="n">
        <x:f>COUNTIF(C12:AG12,1)</x:f>
        <x:v>22</x:v>
      </x:c>
      <x:c r="AI12" s="92" t="n">
        <x:f>AH12/31</x:f>
        <x:v>0.7096774193548387</x:v>
      </x:c>
    </x:row>
    <x:row r="13" ht="24" customHeight="1">
      <x:c r="A13" s="4"/>
      <x:c r="B13" s="4" t="str">
        <x:v>Fresh air</x:v>
      </x:c>
      <x:c r="C13" s="83" t="n">
        <x:v>1</x:v>
      </x:c>
      <x:c r="D13" s="83" t="n">
        <x:v>0</x:v>
      </x:c>
      <x:c r="E13" s="83" t="n">
        <x:v>1</x:v>
      </x:c>
      <x:c r="F13" s="83" t="n">
        <x:v>1</x:v>
      </x:c>
      <x:c r="G13" s="83" t="n">
        <x:v>1</x:v>
      </x:c>
      <x:c r="H13" s="83" t="n">
        <x:v>1</x:v>
      </x:c>
      <x:c r="I13" s="83" t="n">
        <x:v>0</x:v>
      </x:c>
      <x:c r="J13" s="83" t="n">
        <x:v>1</x:v>
      </x:c>
      <x:c r="K13" s="83" t="n">
        <x:v>0</x:v>
      </x:c>
      <x:c r="L13" s="83" t="n">
        <x:v>1</x:v>
      </x:c>
      <x:c r="M13" s="83" t="n">
        <x:v>1</x:v>
      </x:c>
      <x:c r="N13" s="83" t="n">
        <x:v>1</x:v>
      </x:c>
      <x:c r="O13" s="83" t="n">
        <x:v>1</x:v>
      </x:c>
      <x:c r="P13" s="83" t="n">
        <x:v>0</x:v>
      </x:c>
      <x:c r="Q13" s="83" t="n">
        <x:v>1</x:v>
      </x:c>
      <x:c r="R13" s="84" t="n">
        <x:v>0</x:v>
      </x:c>
      <x:c r="S13" s="84" t="n">
        <x:v>1</x:v>
      </x:c>
      <x:c r="T13" s="84" t="n">
        <x:v>1</x:v>
      </x:c>
      <x:c r="U13" s="84" t="n">
        <x:v>1</x:v>
      </x:c>
      <x:c r="V13" s="84" t="n">
        <x:v>1</x:v>
      </x:c>
      <x:c r="W13" s="84" t="n">
        <x:v>0</x:v>
      </x:c>
      <x:c r="X13" s="84" t="n">
        <x:v>1</x:v>
      </x:c>
      <x:c r="Y13" s="84" t="n">
        <x:v>0</x:v>
      </x:c>
      <x:c r="Z13" s="84" t="n">
        <x:v>1</x:v>
      </x:c>
      <x:c r="AA13" s="84" t="n">
        <x:v>1</x:v>
      </x:c>
      <x:c r="AB13" s="84" t="n">
        <x:v>1</x:v>
      </x:c>
      <x:c r="AC13" s="84" t="n">
        <x:v>1</x:v>
      </x:c>
      <x:c r="AD13" s="84" t="n">
        <x:v>0</x:v>
      </x:c>
      <x:c r="AE13" s="84" t="n">
        <x:v>1</x:v>
      </x:c>
      <x:c r="AF13" s="84" t="n">
        <x:v>0</x:v>
      </x:c>
      <x:c r="AG13" s="84" t="n">
        <x:v>1</x:v>
      </x:c>
      <x:c r="AH13" t="n">
        <x:f>COUNTIF(C13:AG13,1)</x:f>
        <x:v>22</x:v>
      </x:c>
      <x:c r="AI13" s="92" t="n">
        <x:f>AH13/31</x:f>
        <x:v>0.7096774193548387</x:v>
      </x:c>
    </x:row>
    <x:row r="14" ht="24" customHeight="1">
      <x:c r="A14" s="4"/>
      <x:c r="B14" s="4" t="str">
        <x:v>Tidy 10 min</x:v>
      </x:c>
      <x:c r="C14" s="83" t="n">
        <x:v>1</x:v>
      </x:c>
      <x:c r="D14" s="83" t="n">
        <x:v>1</x:v>
      </x:c>
      <x:c r="E14" s="83" t="n">
        <x:v>1</x:v>
      </x:c>
      <x:c r="F14" s="83" t="n">
        <x:v>0</x:v>
      </x:c>
      <x:c r="G14" s="83" t="n">
        <x:v>1</x:v>
      </x:c>
      <x:c r="H14" s="83" t="n">
        <x:v>0</x:v>
      </x:c>
      <x:c r="I14" s="83" t="n">
        <x:v>1</x:v>
      </x:c>
      <x:c r="J14" s="83" t="n">
        <x:v>1</x:v>
      </x:c>
      <x:c r="K14" s="83" t="n">
        <x:v>1</x:v>
      </x:c>
      <x:c r="L14" s="83" t="n">
        <x:v>1</x:v>
      </x:c>
      <x:c r="M14" s="83" t="n">
        <x:v>0</x:v>
      </x:c>
      <x:c r="N14" s="83" t="n">
        <x:v>1</x:v>
      </x:c>
      <x:c r="O14" s="83" t="n">
        <x:v>0</x:v>
      </x:c>
      <x:c r="P14" s="83" t="n">
        <x:v>1</x:v>
      </x:c>
      <x:c r="Q14" s="83" t="n">
        <x:v>1</x:v>
      </x:c>
      <x:c r="R14" s="84" t="n">
        <x:v>1</x:v>
      </x:c>
      <x:c r="S14" s="84" t="n">
        <x:v>1</x:v>
      </x:c>
      <x:c r="T14" s="84" t="n">
        <x:v>0</x:v>
      </x:c>
      <x:c r="U14" s="84" t="n">
        <x:v>1</x:v>
      </x:c>
      <x:c r="V14" s="84" t="n">
        <x:v>0</x:v>
      </x:c>
      <x:c r="W14" s="84" t="n">
        <x:v>1</x:v>
      </x:c>
      <x:c r="X14" s="84" t="n">
        <x:v>1</x:v>
      </x:c>
      <x:c r="Y14" s="84" t="n">
        <x:v>1</x:v>
      </x:c>
      <x:c r="Z14" s="84" t="n">
        <x:v>1</x:v>
      </x:c>
      <x:c r="AA14" s="84" t="n">
        <x:v>0</x:v>
      </x:c>
      <x:c r="AB14" s="84" t="n">
        <x:v>1</x:v>
      </x:c>
      <x:c r="AC14" s="84" t="n">
        <x:v>0</x:v>
      </x:c>
      <x:c r="AD14" s="84" t="n">
        <x:v>1</x:v>
      </x:c>
      <x:c r="AE14" s="84" t="n">
        <x:v>1</x:v>
      </x:c>
      <x:c r="AF14" s="84" t="n">
        <x:v>1</x:v>
      </x:c>
      <x:c r="AG14" s="84" t="n">
        <x:v>1</x:v>
      </x:c>
      <x:c r="AH14" t="n">
        <x:f>COUNTIF(C14:AG14,1)</x:f>
        <x:v>23</x:v>
      </x:c>
      <x:c r="AI14" s="92" t="n">
        <x:f>AH14/31</x:f>
        <x:v>0.7419354838709677</x:v>
      </x:c>
    </x:row>
    <x:row r="15" ht="24" customHeight="1">
      <x:c r="A15" s="4"/>
      <x:c r="B15" s="4" t="str">
        <x:v>Sleep on time</x:v>
      </x:c>
      <x:c r="C15" s="83" t="n">
        <x:v>0</x:v>
      </x:c>
      <x:c r="D15" s="83" t="n">
        <x:v>1</x:v>
      </x:c>
      <x:c r="E15" s="83" t="n">
        <x:v>0</x:v>
      </x:c>
      <x:c r="F15" s="83" t="n">
        <x:v>1</x:v>
      </x:c>
      <x:c r="G15" s="83" t="n">
        <x:v>1</x:v>
      </x:c>
      <x:c r="H15" s="83" t="n">
        <x:v>1</x:v>
      </x:c>
      <x:c r="I15" s="83" t="n">
        <x:v>1</x:v>
      </x:c>
      <x:c r="J15" s="83" t="n">
        <x:v>0</x:v>
      </x:c>
      <x:c r="K15" s="83" t="n">
        <x:v>1</x:v>
      </x:c>
      <x:c r="L15" s="83" t="n">
        <x:v>0</x:v>
      </x:c>
      <x:c r="M15" s="83" t="n">
        <x:v>1</x:v>
      </x:c>
      <x:c r="N15" s="83" t="n">
        <x:v>1</x:v>
      </x:c>
      <x:c r="O15" s="83" t="n">
        <x:v>1</x:v>
      </x:c>
      <x:c r="P15" s="83" t="n">
        <x:v>1</x:v>
      </x:c>
      <x:c r="Q15" s="83" t="n">
        <x:v>0</x:v>
      </x:c>
      <x:c r="R15" s="84" t="n">
        <x:v>1</x:v>
      </x:c>
      <x:c r="S15" s="84" t="n">
        <x:v>0</x:v>
      </x:c>
      <x:c r="T15" s="84" t="n">
        <x:v>1</x:v>
      </x:c>
      <x:c r="U15" s="84" t="n">
        <x:v>1</x:v>
      </x:c>
      <x:c r="V15" s="84" t="n">
        <x:v>1</x:v>
      </x:c>
      <x:c r="W15" s="84" t="n">
        <x:v>1</x:v>
      </x:c>
      <x:c r="X15" s="84" t="n">
        <x:v>0</x:v>
      </x:c>
      <x:c r="Y15" s="84" t="n">
        <x:v>1</x:v>
      </x:c>
      <x:c r="Z15" s="84" t="n">
        <x:v>0</x:v>
      </x:c>
      <x:c r="AA15" s="84" t="n">
        <x:v>1</x:v>
      </x:c>
      <x:c r="AB15" s="84" t="n">
        <x:v>1</x:v>
      </x:c>
      <x:c r="AC15" s="84" t="n">
        <x:v>1</x:v>
      </x:c>
      <x:c r="AD15" s="84" t="n">
        <x:v>1</x:v>
      </x:c>
      <x:c r="AE15" s="84" t="n">
        <x:v>0</x:v>
      </x:c>
      <x:c r="AF15" s="84" t="n">
        <x:v>1</x:v>
      </x:c>
      <x:c r="AG15" s="84" t="n">
        <x:v>0</x:v>
      </x:c>
      <x:c r="AH15" t="n">
        <x:f>COUNTIF(C15:AG15,1)</x:f>
        <x:v>21</x:v>
      </x:c>
      <x:c r="AI15" s="92" t="n">
        <x:f>AH15/31</x:f>
        <x:v>0.6774193548387096</x:v>
      </x:c>
    </x:row>
    <x:row r="16" ht="24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4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8" customHeight="1">
      <x:c r="A19" s="4"/>
      <x:c r="B19" s="17" t="str">
        <x:v>✿  HABIT NOTES</x:v>
      </x:c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4" customHeight="1">
      <x:c r="A21" s="4"/>
      <x:c r="B21" s="32" t="str">
        <x:v>Aim for progress, not perfection.  The pattern matters more than any single day.</x:v>
      </x:c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4"/>
    </x:row>
    <x:row r="22" ht="24" customHeight="1">
      <x:c r="A22" s="4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4"/>
    </x:row>
    <x:row r="23" ht="24" customHeight="1">
      <x:c r="A23" s="4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P6"/>
    <x:mergeCell ref="B19:P19"/>
    <x:mergeCell ref="B21:P23"/>
  </x:mergeCells>
  <x:conditionalFormatting sqref="C9:AG15">
    <x:cfRule type="expression" dxfId="2" priority="1">
      <x:formula>C9=1</x:formula>
    </x:cfRule>
    <x:cfRule type="expression" dxfId="3" priority="2">
      <x:formula>C9=0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94" t="str">
        <x:v>04 · MOOD &amp; ENERGY  ✿</x:v>
      </x:c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  <x:c r="Q2" s="4"/>
    </x:row>
    <x:row r="3" ht="25" customHeight="1">
      <x:c r="A3" s="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94"/>
      <x:c r="P3" s="94"/>
      <x:c r="Q3" s="4"/>
    </x:row>
    <x:row r="4" ht="24" customHeight="1">
      <x:c r="A4" s="4"/>
      <x:c r="B4" s="13" t="str">
        <x:v>a gentle check-in  •  use 1–5 for mood &amp; energy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17" t="str">
        <x:v>♡  DAILY CHECK-IN</x:v>
      </x:c>
      <x:c r="C6" s="17"/>
      <x:c r="D6" s="17"/>
      <x:c r="E6" s="17"/>
      <x:c r="F6" s="17"/>
      <x:c r="G6" s="17"/>
      <x:c r="H6" s="17"/>
      <x:c r="I6" s="17"/>
      <x:c r="J6" s="17"/>
      <x:c r="K6" s="4"/>
      <x:c r="L6" s="4"/>
      <x:c r="M6" s="4"/>
      <x:c r="N6" s="4"/>
      <x:c r="O6" s="4"/>
      <x:c r="P6" s="4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8" customHeight="1">
      <x:c r="A8" s="4"/>
      <x:c r="B8" s="54" t="str">
        <x:v>Date</x:v>
      </x:c>
      <x:c r="C8" s="54" t="str">
        <x:v>Mood</x:v>
      </x:c>
      <x:c r="D8" s="54" t="str">
        <x:v>Energy</x:v>
      </x:c>
      <x:c r="E8" s="54" t="str">
        <x:v>Sleep hrs</x:v>
      </x:c>
      <x:c r="F8" s="54" t="str">
        <x:v>One-word vibe</x:v>
      </x:c>
      <x:c r="G8" s="4"/>
      <x:c r="H8" s="29" t="str">
        <x:v>MONTHLY SNAPSHOT</x:v>
      </x:c>
      <x:c r="I8" s="29"/>
      <x:c r="J8" s="29"/>
      <x:c r="K8" s="29"/>
      <x:c r="L8" s="29"/>
      <x:c r="M8" s="29"/>
      <x:c r="N8" s="29"/>
      <x:c r="O8" s="29"/>
      <x:c r="P8" s="29"/>
      <x:c r="Q8" s="4"/>
    </x:row>
    <x:row r="9" ht="24" customHeight="1">
      <x:c r="A9" s="4"/>
      <x:c r="B9" s="100" t="n">
        <x:v>46296</x:v>
      </x:c>
      <x:c r="C9" s="12" t="n">
        <x:v>4</x:v>
      </x:c>
      <x:c r="D9" s="12" t="n">
        <x:v>4</x:v>
      </x:c>
      <x:c r="E9" s="101" t="n">
        <x:v>7</x:v>
      </x:c>
      <x:c r="F9" s="12" t="str">
        <x:v>soft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4" customHeight="1">
      <x:c r="A10" s="4"/>
      <x:c r="B10" s="104" t="n">
        <x:v>46297</x:v>
      </x:c>
      <x:c r="C10" s="105" t="n">
        <x:v>2</x:v>
      </x:c>
      <x:c r="D10" s="105" t="n">
        <x:v>2</x:v>
      </x:c>
      <x:c r="E10" s="106" t="n">
        <x:v>7.5</x:v>
      </x:c>
      <x:c r="F10" s="105" t="str">
        <x:v>sunny</x:v>
      </x:c>
      <x:c r="G10" s="4"/>
      <x:c r="H10" s="12" t="str">
        <x:v>Average mood</x:v>
      </x:c>
      <x:c r="I10" s="12"/>
      <x:c r="J10" s="12"/>
      <x:c r="K10" s="12"/>
      <x:c r="L10" s="12"/>
      <x:c r="M10" s="98" t="n">
        <x:f>AVERAGE(C9:C39)</x:f>
        <x:v>3.032258064516129</x:v>
      </x:c>
      <x:c r="N10" s="4"/>
      <x:c r="O10" s="4"/>
      <x:c r="P10" s="4"/>
      <x:c r="Q10" s="4"/>
    </x:row>
    <x:row r="11" ht="24" customHeight="1">
      <x:c r="A11" s="4"/>
      <x:c r="B11" s="100" t="n">
        <x:v>46298</x:v>
      </x:c>
      <x:c r="C11" s="12" t="n">
        <x:v>5</x:v>
      </x:c>
      <x:c r="D11" s="12" t="n">
        <x:v>4</x:v>
      </x:c>
      <x:c r="E11" s="101" t="n">
        <x:v>8</x:v>
      </x:c>
      <x:c r="F11" s="12" t="str">
        <x:v>cozy</x:v>
      </x:c>
      <x:c r="G11" s="4"/>
      <x:c r="H11" s="4"/>
      <x:c r="I11" s="4"/>
      <x:c r="J11" s="4"/>
      <x:c r="K11" s="4"/>
      <x:c r="L11" s="4"/>
      <x:c r="M11" s="98"/>
      <x:c r="N11" s="4"/>
      <x:c r="O11" s="4"/>
      <x:c r="P11" s="4"/>
      <x:c r="Q11" s="4"/>
    </x:row>
    <x:row r="12" ht="24" customHeight="1">
      <x:c r="A12" s="4"/>
      <x:c r="B12" s="104" t="n">
        <x:v>46299</x:v>
      </x:c>
      <x:c r="C12" s="105" t="n">
        <x:v>3</x:v>
      </x:c>
      <x:c r="D12" s="105" t="n">
        <x:v>2</x:v>
      </x:c>
      <x:c r="E12" s="106" t="n">
        <x:v>8.5</x:v>
      </x:c>
      <x:c r="F12" s="105" t="str">
        <x:v>focused</x:v>
      </x:c>
      <x:c r="G12" s="4"/>
      <x:c r="H12" s="12" t="str">
        <x:v>Average energy</x:v>
      </x:c>
      <x:c r="I12" s="12"/>
      <x:c r="J12" s="12"/>
      <x:c r="K12" s="12"/>
      <x:c r="L12" s="12"/>
      <x:c r="M12" s="98" t="n">
        <x:f>AVERAGE(D9:D39)</x:f>
        <x:v>3.032258064516129</x:v>
      </x:c>
      <x:c r="N12" s="4"/>
      <x:c r="O12" s="4"/>
      <x:c r="P12" s="4"/>
      <x:c r="Q12" s="4"/>
    </x:row>
    <x:row r="13" ht="24" customHeight="1">
      <x:c r="A13" s="4"/>
      <x:c r="B13" s="100" t="n">
        <x:v>46300</x:v>
      </x:c>
      <x:c r="C13" s="12" t="n">
        <x:v>1</x:v>
      </x:c>
      <x:c r="D13" s="12" t="n">
        <x:v>4</x:v>
      </x:c>
      <x:c r="E13" s="101" t="n">
        <x:v>6.5</x:v>
      </x:c>
      <x:c r="F13" s="12" t="str">
        <x:v>sleepy</x:v>
      </x:c>
      <x:c r="G13" s="4"/>
      <x:c r="H13" s="4"/>
      <x:c r="I13" s="4"/>
      <x:c r="J13" s="4"/>
      <x:c r="K13" s="4"/>
      <x:c r="L13" s="4"/>
      <x:c r="M13" s="98"/>
      <x:c r="N13" s="4"/>
      <x:c r="O13" s="4"/>
      <x:c r="P13" s="4"/>
      <x:c r="Q13" s="4"/>
    </x:row>
    <x:row r="14" ht="24" customHeight="1">
      <x:c r="A14" s="4"/>
      <x:c r="B14" s="104" t="n">
        <x:v>46301</x:v>
      </x:c>
      <x:c r="C14" s="105" t="n">
        <x:v>4</x:v>
      </x:c>
      <x:c r="D14" s="105" t="n">
        <x:v>2</x:v>
      </x:c>
      <x:c r="E14" s="106" t="n">
        <x:v>7</x:v>
      </x:c>
      <x:c r="F14" s="105" t="str">
        <x:v>bright</x:v>
      </x:c>
      <x:c r="G14" s="4"/>
      <x:c r="H14" s="12" t="str">
        <x:v>Average sleep</x:v>
      </x:c>
      <x:c r="I14" s="12"/>
      <x:c r="J14" s="12"/>
      <x:c r="K14" s="12"/>
      <x:c r="L14" s="12"/>
      <x:c r="M14" s="98" t="n">
        <x:f>AVERAGE(E9:E39)</x:f>
        <x:v>7.483870967741935</x:v>
      </x:c>
      <x:c r="N14" s="4"/>
      <x:c r="O14" s="4"/>
      <x:c r="P14" s="4"/>
      <x:c r="Q14" s="4"/>
    </x:row>
    <x:row r="15" ht="24" customHeight="1">
      <x:c r="A15" s="4"/>
      <x:c r="B15" s="100" t="n">
        <x:v>46302</x:v>
      </x:c>
      <x:c r="C15" s="12" t="n">
        <x:v>2</x:v>
      </x:c>
      <x:c r="D15" s="12" t="n">
        <x:v>4</x:v>
      </x:c>
      <x:c r="E15" s="101" t="n">
        <x:v>7.5</x:v>
      </x:c>
      <x:c r="F15" s="12" t="str">
        <x:v>calm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4" customHeight="1">
      <x:c r="A16" s="4"/>
      <x:c r="B16" s="104" t="n">
        <x:v>46303</x:v>
      </x:c>
      <x:c r="C16" s="105" t="n">
        <x:v>5</x:v>
      </x:c>
      <x:c r="D16" s="105" t="n">
        <x:v>2</x:v>
      </x:c>
      <x:c r="E16" s="106" t="n">
        <x:v>8</x:v>
      </x:c>
      <x:c r="F16" s="105" t="str">
        <x:v>hopeful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4" customHeight="1">
      <x:c r="A17" s="4"/>
      <x:c r="B17" s="100" t="n">
        <x:v>46304</x:v>
      </x:c>
      <x:c r="C17" s="12" t="n">
        <x:v>3</x:v>
      </x:c>
      <x:c r="D17" s="12" t="n">
        <x:v>4</x:v>
      </x:c>
      <x:c r="E17" s="101" t="n">
        <x:v>8.5</x:v>
      </x:c>
      <x:c r="F17" s="12" t="str">
        <x:v>busy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8" customHeight="1">
      <x:c r="A18" s="4"/>
      <x:c r="B18" s="104" t="n">
        <x:v>46305</x:v>
      </x:c>
      <x:c r="C18" s="105" t="n">
        <x:v>1</x:v>
      </x:c>
      <x:c r="D18" s="105" t="n">
        <x:v>2</x:v>
      </x:c>
      <x:c r="E18" s="106" t="n">
        <x:v>6.5</x:v>
      </x:c>
      <x:c r="F18" s="105" t="str">
        <x:v>restful</x:v>
      </x:c>
      <x:c r="G18" s="4"/>
      <x:c r="H18" s="17" t="str">
        <x:v>✧  MOOD KEY</x:v>
      </x:c>
      <x:c r="I18" s="17"/>
      <x:c r="J18" s="17"/>
      <x:c r="K18" s="17"/>
      <x:c r="L18" s="17"/>
      <x:c r="M18" s="17"/>
      <x:c r="N18" s="17"/>
      <x:c r="O18" s="17"/>
      <x:c r="P18" s="17"/>
      <x:c r="Q18" s="4"/>
    </x:row>
    <x:row r="19" ht="24" customHeight="1">
      <x:c r="A19" s="4"/>
      <x:c r="B19" s="100" t="n">
        <x:v>46306</x:v>
      </x:c>
      <x:c r="C19" s="12" t="n">
        <x:v>4</x:v>
      </x:c>
      <x:c r="D19" s="12" t="n">
        <x:v>4</x:v>
      </x:c>
      <x:c r="E19" s="101" t="n">
        <x:v>7</x:v>
      </x:c>
      <x:c r="F19" s="12" t="str">
        <x:v>sparkly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4" customHeight="1">
      <x:c r="A20" s="4"/>
      <x:c r="B20" s="104" t="n">
        <x:v>46307</x:v>
      </x:c>
      <x:c r="C20" s="105" t="n">
        <x:v>2</x:v>
      </x:c>
      <x:c r="D20" s="105" t="n">
        <x:v>2</x:v>
      </x:c>
      <x:c r="E20" s="106" t="n">
        <x:v>7.5</x:v>
      </x:c>
      <x:c r="F20" s="105" t="str">
        <x:v>soft</x:v>
      </x:c>
      <x:c r="G20" s="4"/>
      <x:c r="H20" s="16" t="str">
        <x:v>1  rough day</x:v>
      </x:c>
      <x:c r="I20" s="16"/>
      <x:c r="J20" s="16"/>
      <x:c r="K20" s="16"/>
      <x:c r="L20" s="16"/>
      <x:c r="M20" s="16"/>
      <x:c r="N20" s="16"/>
      <x:c r="O20" s="16"/>
      <x:c r="P20" s="16"/>
      <x:c r="Q20" s="4"/>
    </x:row>
    <x:row r="21" ht="24" customHeight="1">
      <x:c r="A21" s="4"/>
      <x:c r="B21" s="100" t="n">
        <x:v>46308</x:v>
      </x:c>
      <x:c r="C21" s="12" t="n">
        <x:v>5</x:v>
      </x:c>
      <x:c r="D21" s="12" t="n">
        <x:v>4</x:v>
      </x:c>
      <x:c r="E21" s="101" t="n">
        <x:v>8</x:v>
      </x:c>
      <x:c r="F21" s="12" t="str">
        <x:v>sunny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4" customHeight="1">
      <x:c r="A22" s="4"/>
      <x:c r="B22" s="104" t="n">
        <x:v>46309</x:v>
      </x:c>
      <x:c r="C22" s="105" t="n">
        <x:v>3</x:v>
      </x:c>
      <x:c r="D22" s="105" t="n">
        <x:v>2</x:v>
      </x:c>
      <x:c r="E22" s="106" t="n">
        <x:v>8.5</x:v>
      </x:c>
      <x:c r="F22" s="105" t="str">
        <x:v>cozy</x:v>
      </x:c>
      <x:c r="G22" s="4"/>
      <x:c r="H22" s="20" t="str">
        <x:v>2  low energy</x:v>
      </x:c>
      <x:c r="I22" s="20"/>
      <x:c r="J22" s="20"/>
      <x:c r="K22" s="20"/>
      <x:c r="L22" s="20"/>
      <x:c r="M22" s="20"/>
      <x:c r="N22" s="20"/>
      <x:c r="O22" s="20"/>
      <x:c r="P22" s="20"/>
      <x:c r="Q22" s="4"/>
    </x:row>
    <x:row r="23" ht="24" customHeight="1">
      <x:c r="A23" s="4"/>
      <x:c r="B23" s="100" t="n">
        <x:v>46310</x:v>
      </x:c>
      <x:c r="C23" s="12" t="n">
        <x:v>1</x:v>
      </x:c>
      <x:c r="D23" s="12" t="n">
        <x:v>4</x:v>
      </x:c>
      <x:c r="E23" s="101" t="n">
        <x:v>6.5</x:v>
      </x:c>
      <x:c r="F23" s="12" t="str">
        <x:v>focused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4" customHeight="1">
      <x:c r="A24" s="4"/>
      <x:c r="B24" s="104" t="n">
        <x:v>46311</x:v>
      </x:c>
      <x:c r="C24" s="105" t="n">
        <x:v>4</x:v>
      </x:c>
      <x:c r="D24" s="105" t="n">
        <x:v>2</x:v>
      </x:c>
      <x:c r="E24" s="106" t="n">
        <x:v>7</x:v>
      </x:c>
      <x:c r="F24" s="105" t="str">
        <x:v>sleepy</x:v>
      </x:c>
      <x:c r="G24" s="4"/>
      <x:c r="H24" s="110" t="str">
        <x:v>3  doing okay</x:v>
      </x:c>
      <x:c r="I24" s="110"/>
      <x:c r="J24" s="110"/>
      <x:c r="K24" s="110"/>
      <x:c r="L24" s="110"/>
      <x:c r="M24" s="110"/>
      <x:c r="N24" s="110"/>
      <x:c r="O24" s="110"/>
      <x:c r="P24" s="110"/>
      <x:c r="Q24" s="4"/>
    </x:row>
    <x:row r="25" ht="24" customHeight="1">
      <x:c r="A25" s="4"/>
      <x:c r="B25" s="100" t="n">
        <x:v>46312</x:v>
      </x:c>
      <x:c r="C25" s="12" t="n">
        <x:v>2</x:v>
      </x:c>
      <x:c r="D25" s="12" t="n">
        <x:v>4</x:v>
      </x:c>
      <x:c r="E25" s="101" t="n">
        <x:v>7.5</x:v>
      </x:c>
      <x:c r="F25" s="12" t="str">
        <x:v>bright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104" t="n">
        <x:v>46313</x:v>
      </x:c>
      <x:c r="C26" s="105" t="n">
        <x:v>5</x:v>
      </x:c>
      <x:c r="D26" s="105" t="n">
        <x:v>2</x:v>
      </x:c>
      <x:c r="E26" s="106" t="n">
        <x:v>8</x:v>
      </x:c>
      <x:c r="F26" s="105" t="str">
        <x:v>calm</x:v>
      </x:c>
      <x:c r="G26" s="4"/>
      <x:c r="H26" s="28" t="str">
        <x:v>4  pretty good</x:v>
      </x:c>
      <x:c r="I26" s="28"/>
      <x:c r="J26" s="28"/>
      <x:c r="K26" s="28"/>
      <x:c r="L26" s="28"/>
      <x:c r="M26" s="28"/>
      <x:c r="N26" s="28"/>
      <x:c r="O26" s="28"/>
      <x:c r="P26" s="28"/>
      <x:c r="Q26" s="4"/>
    </x:row>
    <x:row r="27" ht="24" customHeight="1">
      <x:c r="A27" s="4"/>
      <x:c r="B27" s="100" t="n">
        <x:v>46314</x:v>
      </x:c>
      <x:c r="C27" s="12" t="n">
        <x:v>3</x:v>
      </x:c>
      <x:c r="D27" s="12" t="n">
        <x:v>4</x:v>
      </x:c>
      <x:c r="E27" s="101" t="n">
        <x:v>8.5</x:v>
      </x:c>
      <x:c r="F27" s="12" t="str">
        <x:v>hopeful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4" customHeight="1">
      <x:c r="A28" s="4"/>
      <x:c r="B28" s="104" t="n">
        <x:v>46315</x:v>
      </x:c>
      <x:c r="C28" s="105" t="n">
        <x:v>1</x:v>
      </x:c>
      <x:c r="D28" s="105" t="n">
        <x:v>2</x:v>
      </x:c>
      <x:c r="E28" s="106" t="n">
        <x:v>6.5</x:v>
      </x:c>
      <x:c r="F28" s="105" t="str">
        <x:v>busy</x:v>
      </x:c>
      <x:c r="G28" s="4"/>
      <x:c r="H28" s="112" t="str">
        <x:v>5  feeling lovely</x:v>
      </x:c>
      <x:c r="I28" s="112"/>
      <x:c r="J28" s="112"/>
      <x:c r="K28" s="112"/>
      <x:c r="L28" s="112"/>
      <x:c r="M28" s="112"/>
      <x:c r="N28" s="112"/>
      <x:c r="O28" s="112"/>
      <x:c r="P28" s="112"/>
      <x:c r="Q28" s="4"/>
    </x:row>
    <x:row r="29" ht="24" customHeight="1">
      <x:c r="A29" s="4"/>
      <x:c r="B29" s="100" t="n">
        <x:v>46316</x:v>
      </x:c>
      <x:c r="C29" s="12" t="n">
        <x:v>4</x:v>
      </x:c>
      <x:c r="D29" s="12" t="n">
        <x:v>4</x:v>
      </x:c>
      <x:c r="E29" s="101" t="n">
        <x:v>7</x:v>
      </x:c>
      <x:c r="F29" s="12" t="str">
        <x:v>restful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4" customHeight="1">
      <x:c r="A30" s="4"/>
      <x:c r="B30" s="104" t="n">
        <x:v>46317</x:v>
      </x:c>
      <x:c r="C30" s="105" t="n">
        <x:v>2</x:v>
      </x:c>
      <x:c r="D30" s="105" t="n">
        <x:v>2</x:v>
      </x:c>
      <x:c r="E30" s="106" t="n">
        <x:v>7.5</x:v>
      </x:c>
      <x:c r="F30" s="105" t="str">
        <x:v>sparkly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4" customHeight="1">
      <x:c r="A31" s="4"/>
      <x:c r="B31" s="100" t="n">
        <x:v>46318</x:v>
      </x:c>
      <x:c r="C31" s="12" t="n">
        <x:v>5</x:v>
      </x:c>
      <x:c r="D31" s="12" t="n">
        <x:v>4</x:v>
      </x:c>
      <x:c r="E31" s="101" t="n">
        <x:v>8</x:v>
      </x:c>
      <x:c r="F31" s="12" t="str">
        <x:v>soft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104" t="n">
        <x:v>46319</x:v>
      </x:c>
      <x:c r="C32" s="105" t="n">
        <x:v>3</x:v>
      </x:c>
      <x:c r="D32" s="105" t="n">
        <x:v>2</x:v>
      </x:c>
      <x:c r="E32" s="106" t="n">
        <x:v>8.5</x:v>
      </x:c>
      <x:c r="F32" s="105" t="str">
        <x:v>sunny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4" customHeight="1">
      <x:c r="A33" s="4"/>
      <x:c r="B33" s="100" t="n">
        <x:v>46320</x:v>
      </x:c>
      <x:c r="C33" s="12" t="n">
        <x:v>1</x:v>
      </x:c>
      <x:c r="D33" s="12" t="n">
        <x:v>4</x:v>
      </x:c>
      <x:c r="E33" s="101" t="n">
        <x:v>6.5</x:v>
      </x:c>
      <x:c r="F33" s="12" t="str">
        <x:v>cozy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4" customHeight="1">
      <x:c r="A34" s="4"/>
      <x:c r="B34" s="104" t="n">
        <x:v>46321</x:v>
      </x:c>
      <x:c r="C34" s="105" t="n">
        <x:v>4</x:v>
      </x:c>
      <x:c r="D34" s="105" t="n">
        <x:v>2</x:v>
      </x:c>
      <x:c r="E34" s="106" t="n">
        <x:v>7</x:v>
      </x:c>
      <x:c r="F34" s="105" t="str">
        <x:v>focused</x:v>
      </x:c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4" customHeight="1">
      <x:c r="A35" s="4"/>
      <x:c r="B35" s="100" t="n">
        <x:v>46322</x:v>
      </x:c>
      <x:c r="C35" s="12" t="n">
        <x:v>2</x:v>
      </x:c>
      <x:c r="D35" s="12" t="n">
        <x:v>4</x:v>
      </x:c>
      <x:c r="E35" s="101" t="n">
        <x:v>7.5</x:v>
      </x:c>
      <x:c r="F35" s="12" t="str">
        <x:v>sleepy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104" t="n">
        <x:v>46323</x:v>
      </x:c>
      <x:c r="C36" s="105" t="n">
        <x:v>5</x:v>
      </x:c>
      <x:c r="D36" s="105" t="n">
        <x:v>2</x:v>
      </x:c>
      <x:c r="E36" s="106" t="n">
        <x:v>8</x:v>
      </x:c>
      <x:c r="F36" s="105" t="str">
        <x:v>bright</x:v>
      </x:c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100" t="n">
        <x:v>46324</x:v>
      </x:c>
      <x:c r="C37" s="12" t="n">
        <x:v>3</x:v>
      </x:c>
      <x:c r="D37" s="12" t="n">
        <x:v>4</x:v>
      </x:c>
      <x:c r="E37" s="101" t="n">
        <x:v>8.5</x:v>
      </x:c>
      <x:c r="F37" s="12" t="str">
        <x:v>calm</x:v>
      </x:c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104" t="n">
        <x:v>46325</x:v>
      </x:c>
      <x:c r="C38" s="105" t="n">
        <x:v>1</x:v>
      </x:c>
      <x:c r="D38" s="105" t="n">
        <x:v>2</x:v>
      </x:c>
      <x:c r="E38" s="106" t="n">
        <x:v>6.5</x:v>
      </x:c>
      <x:c r="F38" s="105" t="str">
        <x:v>hopeful</x:v>
      </x:c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100" t="n">
        <x:v>46326</x:v>
      </x:c>
      <x:c r="C39" s="12" t="n">
        <x:v>4</x:v>
      </x:c>
      <x:c r="D39" s="12" t="n">
        <x:v>4</x:v>
      </x:c>
      <x:c r="E39" s="101" t="n">
        <x:v>7</x:v>
      </x:c>
      <x:c r="F39" s="12" t="str">
        <x:v>busy</x:v>
      </x:c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J6"/>
    <x:mergeCell ref="H8:P8"/>
    <x:mergeCell ref="H10:L10"/>
    <x:mergeCell ref="H12:L12"/>
    <x:mergeCell ref="H14:L14"/>
    <x:mergeCell ref="H18:P18"/>
    <x:mergeCell ref="H20:P20"/>
    <x:mergeCell ref="H22:P22"/>
    <x:mergeCell ref="H24:P24"/>
    <x:mergeCell ref="H26:P26"/>
    <x:mergeCell ref="H28:P28"/>
  </x:mergeCells>
  <x:conditionalFormatting sqref="C9:D39">
    <x:cfRule type="colorScale" priority="1">
      <x:colorScale>
        <x:cfvo type="min"/>
        <x:cfvo type="percentile" val="50"/>
        <x:cfvo type="max"/>
        <x:color rgb="FFF7D5DF"/>
        <x:color rgb="FFFFF0B8"/>
        <x:color rgb="FFCAECD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9" t="str">
        <x:v>05 · SPENDING  ✿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4"/>
    </x:row>
    <x:row r="3" ht="25" customHeight="1">
      <x:c r="A3" s="4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4"/>
    </x:row>
    <x:row r="4" ht="24" customHeight="1">
      <x:c r="A4" s="4"/>
      <x:c r="B4" s="13" t="str">
        <x:v>cute on the outside  •  responsible on the inside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 t="str">
        <x:v>Budget</x:v>
      </x:c>
      <x:c r="C5" s="114" t="n">
        <x:v>650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17" t="str">
        <x:v>✦  OCTOBER MONEY DIARY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8" customHeight="1">
      <x:c r="A8" s="4"/>
      <x:c r="B8" s="116" t="str">
        <x:v>Date</x:v>
      </x:c>
      <x:c r="C8" s="116" t="str">
        <x:v>Item</x:v>
      </x:c>
      <x:c r="D8" s="116" t="str">
        <x:v>Category</x:v>
      </x:c>
      <x:c r="E8" s="116" t="str">
        <x:v>Payment</x:v>
      </x:c>
      <x:c r="F8" s="116" t="str">
        <x:v>Amount</x:v>
      </x:c>
      <x:c r="G8" s="116" t="str">
        <x:v>Little note</x:v>
      </x:c>
      <x:c r="H8" s="4"/>
      <x:c r="I8" s="42" t="str">
        <x:v>BUDGET BREAKDOWN</x:v>
      </x:c>
      <x:c r="J8" s="42"/>
      <x:c r="K8" s="42"/>
      <x:c r="L8" s="42"/>
      <x:c r="M8" s="42"/>
      <x:c r="N8" s="42"/>
      <x:c r="O8" s="42"/>
      <x:c r="P8" s="42"/>
      <x:c r="Q8" s="4"/>
    </x:row>
    <x:row r="9" ht="24" customHeight="1">
      <x:c r="A9" s="4"/>
      <x:c r="B9" s="12" t="str">
        <x:v>10/01</x:v>
      </x:c>
      <x:c r="C9" s="12" t="str">
        <x:v>Matcha latte</x:v>
      </x:c>
      <x:c r="D9" s="12" t="str">
        <x:v>Treat</x:v>
      </x:c>
      <x:c r="E9" s="12" t="str">
        <x:v>Card</x:v>
      </x:c>
      <x:c r="F9" s="120" t="n">
        <x:v>6.5</x:v>
      </x:c>
      <x:c r="G9" s="12" t="str">
        <x:v>a nice morning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4" customHeight="1">
      <x:c r="A10" s="4"/>
      <x:c r="B10" s="118" t="str">
        <x:v>10/02</x:v>
      </x:c>
      <x:c r="C10" s="118" t="str">
        <x:v>Groceries</x:v>
      </x:c>
      <x:c r="D10" s="118" t="str">
        <x:v>Food</x:v>
      </x:c>
      <x:c r="E10" s="118" t="str">
        <x:v>Card</x:v>
      </x:c>
      <x:c r="F10" s="121" t="n">
        <x:v>52.4</x:v>
      </x:c>
      <x:c r="G10" s="118" t="str">
        <x:v>meal prep</x:v>
      </x:c>
      <x:c r="H10" s="4"/>
      <x:c r="I10" s="54" t="str">
        <x:v>Category</x:v>
      </x:c>
      <x:c r="J10" s="54" t="str">
        <x:v>Spent</x:v>
      </x:c>
      <x:c r="K10" s="54" t="str">
        <x:v>Budget</x:v>
      </x:c>
      <x:c r="L10" s="4"/>
      <x:c r="M10" s="4"/>
      <x:c r="N10" s="4"/>
      <x:c r="O10" s="4"/>
      <x:c r="P10" s="4"/>
      <x:c r="Q10" s="4"/>
    </x:row>
    <x:row r="11" ht="24" customHeight="1">
      <x:c r="A11" s="4"/>
      <x:c r="B11" s="12" t="str">
        <x:v>10/03</x:v>
      </x:c>
      <x:c r="C11" s="12" t="str">
        <x:v>Flowers</x:v>
      </x:c>
      <x:c r="D11" s="12" t="str">
        <x:v>Home</x:v>
      </x:c>
      <x:c r="E11" s="12" t="str">
        <x:v>Cash</x:v>
      </x:c>
      <x:c r="F11" s="120" t="n">
        <x:v>12</x:v>
      </x:c>
      <x:c r="G11" s="12" t="str">
        <x:v>tiny bouquet</x:v>
      </x:c>
      <x:c r="H11" s="4"/>
      <x:c r="I11" s="4" t="str">
        <x:v>Food</x:v>
      </x:c>
      <x:c r="J11" s="114" t="n">
        <x:f>SUMIF($D$9:$D$28,I11,$F$9:$F$28)</x:f>
        <x:v>98.48</x:v>
      </x:c>
      <x:c r="K11" s="114" t="n">
        <x:v>200</x:v>
      </x:c>
      <x:c r="L11" s="4"/>
      <x:c r="M11" s="4"/>
      <x:c r="N11" s="4"/>
      <x:c r="O11" s="4"/>
      <x:c r="P11" s="4"/>
      <x:c r="Q11" s="4"/>
    </x:row>
    <x:row r="12" ht="24" customHeight="1">
      <x:c r="A12" s="4"/>
      <x:c r="B12" s="118" t="str">
        <x:v>10/04</x:v>
      </x:c>
      <x:c r="C12" s="118" t="str">
        <x:v>Notebook</x:v>
      </x:c>
      <x:c r="D12" s="118" t="str">
        <x:v>Stationery</x:v>
      </x:c>
      <x:c r="E12" s="118" t="str">
        <x:v>Card</x:v>
      </x:c>
      <x:c r="F12" s="121" t="n">
        <x:v>9.75</x:v>
      </x:c>
      <x:c r="G12" s="118" t="str">
        <x:v>lavender cover</x:v>
      </x:c>
      <x:c r="H12" s="4"/>
      <x:c r="I12" s="4" t="str">
        <x:v>Treat</x:v>
      </x:c>
      <x:c r="J12" s="114" t="n">
        <x:f>SUMIF($D$9:$D$28,I12,$F$9:$F$28)</x:f>
        <x:v>19.55</x:v>
      </x:c>
      <x:c r="K12" s="114" t="n">
        <x:v>70</x:v>
      </x:c>
      <x:c r="L12" s="4"/>
      <x:c r="M12" s="4"/>
      <x:c r="N12" s="4"/>
      <x:c r="O12" s="4"/>
      <x:c r="P12" s="4"/>
      <x:c r="Q12" s="4"/>
    </x:row>
    <x:row r="13" ht="24" customHeight="1">
      <x:c r="A13" s="4"/>
      <x:c r="B13" s="12" t="str">
        <x:v>10/05</x:v>
      </x:c>
      <x:c r="C13" s="12" t="str">
        <x:v>Bus ticket</x:v>
      </x:c>
      <x:c r="D13" s="12" t="str">
        <x:v>Travel</x:v>
      </x:c>
      <x:c r="E13" s="12" t="str">
        <x:v>Card</x:v>
      </x:c>
      <x:c r="F13" s="120" t="n">
        <x:v>4</x:v>
      </x:c>
      <x:c r="G13" s="12" t="str">
        <x:v>city exploring</x:v>
      </x:c>
      <x:c r="H13" s="4"/>
      <x:c r="I13" s="4" t="str">
        <x:v>Home</x:v>
      </x:c>
      <x:c r="J13" s="114" t="n">
        <x:f>SUMIF($D$9:$D$28,I13,$F$9:$F$28)</x:f>
        <x:v>26.25</x:v>
      </x:c>
      <x:c r="K13" s="114" t="n">
        <x:v>110</x:v>
      </x:c>
      <x:c r="L13" s="4"/>
      <x:c r="M13" s="4"/>
      <x:c r="N13" s="4"/>
      <x:c r="O13" s="4"/>
      <x:c r="P13" s="4"/>
      <x:c r="Q13" s="4"/>
    </x:row>
    <x:row r="14" ht="24" customHeight="1">
      <x:c r="A14" s="4"/>
      <x:c r="B14" s="118" t="str">
        <x:v>10/07</x:v>
      </x:c>
      <x:c r="C14" s="118" t="str">
        <x:v>Lunch with friend</x:v>
      </x:c>
      <x:c r="D14" s="118" t="str">
        <x:v>Food</x:v>
      </x:c>
      <x:c r="E14" s="118" t="str">
        <x:v>Card</x:v>
      </x:c>
      <x:c r="F14" s="121" t="n">
        <x:v>24.6</x:v>
      </x:c>
      <x:c r="G14" s="118" t="str">
        <x:v>so good</x:v>
      </x:c>
      <x:c r="H14" s="4"/>
      <x:c r="I14" s="4" t="str">
        <x:v>Travel</x:v>
      </x:c>
      <x:c r="J14" s="114" t="n">
        <x:f>SUMIF($D$9:$D$28,I14,$F$9:$F$28)</x:f>
        <x:v>4</x:v>
      </x:c>
      <x:c r="K14" s="114" t="n">
        <x:v>60</x:v>
      </x:c>
      <x:c r="L14" s="4"/>
      <x:c r="M14" s="4"/>
      <x:c r="N14" s="4"/>
      <x:c r="O14" s="4"/>
      <x:c r="P14" s="4"/>
      <x:c r="Q14" s="4"/>
    </x:row>
    <x:row r="15" ht="24" customHeight="1">
      <x:c r="A15" s="4"/>
      <x:c r="B15" s="12" t="str">
        <x:v>10/09</x:v>
      </x:c>
      <x:c r="C15" s="12" t="str">
        <x:v>Tea refill</x:v>
      </x:c>
      <x:c r="D15" s="12" t="str">
        <x:v>Treat</x:v>
      </x:c>
      <x:c r="E15" s="12" t="str">
        <x:v>Cash</x:v>
      </x:c>
      <x:c r="F15" s="120" t="n">
        <x:v>7.25</x:v>
      </x:c>
      <x:c r="G15" s="12" t="str">
        <x:v>earl grey</x:v>
      </x:c>
      <x:c r="H15" s="4"/>
      <x:c r="I15" s="4" t="str">
        <x:v>Stationery</x:v>
      </x:c>
      <x:c r="J15" s="114" t="n">
        <x:f>SUMIF($D$9:$D$28,I15,$F$9:$F$28)</x:f>
        <x:v>9.75</x:v>
      </x:c>
      <x:c r="K15" s="114" t="n">
        <x:v>50</x:v>
      </x:c>
      <x:c r="L15" s="4"/>
      <x:c r="M15" s="4"/>
      <x:c r="N15" s="4"/>
      <x:c r="O15" s="4"/>
      <x:c r="P15" s="4"/>
      <x:c r="Q15" s="4"/>
    </x:row>
    <x:row r="16" ht="24" customHeight="1">
      <x:c r="A16" s="4"/>
      <x:c r="B16" s="118" t="str">
        <x:v>10/10</x:v>
      </x:c>
      <x:c r="C16" s="118" t="str">
        <x:v>Book</x:v>
      </x:c>
      <x:c r="D16" s="118" t="str">
        <x:v>Hobbies</x:v>
      </x:c>
      <x:c r="E16" s="118" t="str">
        <x:v>Card</x:v>
      </x:c>
      <x:c r="F16" s="121" t="n">
        <x:v>18.99</x:v>
      </x:c>
      <x:c r="G16" s="118" t="str">
        <x:v>reading night</x:v>
      </x:c>
      <x:c r="H16" s="4"/>
      <x:c r="I16" s="4" t="str">
        <x:v>Hobbies</x:v>
      </x:c>
      <x:c r="J16" s="114" t="n">
        <x:f>SUMIF($D$9:$D$28,I16,$F$9:$F$28)</x:f>
        <x:v>36.489999999999995</x:v>
      </x:c>
      <x:c r="K16" s="114" t="n">
        <x:v>100</x:v>
      </x:c>
      <x:c r="L16" s="4"/>
      <x:c r="M16" s="4"/>
      <x:c r="N16" s="4"/>
      <x:c r="O16" s="4"/>
      <x:c r="P16" s="4"/>
      <x:c r="Q16" s="4"/>
    </x:row>
    <x:row r="17" ht="24" customHeight="1">
      <x:c r="A17" s="4"/>
      <x:c r="B17" s="12" t="str">
        <x:v>10/11</x:v>
      </x:c>
      <x:c r="C17" s="12" t="str">
        <x:v>Vegetables</x:v>
      </x:c>
      <x:c r="D17" s="12" t="str">
        <x:v>Food</x:v>
      </x:c>
      <x:c r="E17" s="12" t="str">
        <x:v>Card</x:v>
      </x:c>
      <x:c r="F17" s="120" t="n">
        <x:v>21.48</x:v>
      </x:c>
      <x:c r="G17" s="12" t="str">
        <x:v>market trip</x:v>
      </x:c>
      <x:c r="H17" s="4"/>
      <x:c r="I17" s="4" t="str">
        <x:v>Other</x:v>
      </x:c>
      <x:c r="J17" s="114" t="n">
        <x:f>SUMIF($D$9:$D$28,I17,$F$9:$F$28)</x:f>
        <x:v>0</x:v>
      </x:c>
      <x:c r="K17" s="114" t="n">
        <x:v>60</x:v>
      </x:c>
      <x:c r="L17" s="4"/>
      <x:c r="M17" s="4"/>
      <x:c r="N17" s="4"/>
      <x:c r="O17" s="4"/>
      <x:c r="P17" s="4"/>
      <x:c r="Q17" s="4"/>
    </x:row>
    <x:row r="18" ht="24" customHeight="1">
      <x:c r="A18" s="4"/>
      <x:c r="B18" s="118" t="str">
        <x:v>10/13</x:v>
      </x:c>
      <x:c r="C18" s="118" t="str">
        <x:v>Candle</x:v>
      </x:c>
      <x:c r="D18" s="118" t="str">
        <x:v>Home</x:v>
      </x:c>
      <x:c r="E18" s="118" t="str">
        <x:v>Card</x:v>
      </x:c>
      <x:c r="F18" s="121" t="n">
        <x:v>14.25</x:v>
      </x:c>
      <x:c r="G18" s="118" t="str">
        <x:v>vanilla</x:v>
      </x:c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4" customHeight="1">
      <x:c r="A19" s="4"/>
      <x:c r="B19" s="12" t="str">
        <x:v>10/15</x:v>
      </x:c>
      <x:c r="C19" s="12" t="str">
        <x:v>Coffee</x:v>
      </x:c>
      <x:c r="D19" s="12" t="str">
        <x:v>Treat</x:v>
      </x:c>
      <x:c r="E19" s="12" t="str">
        <x:v>Card</x:v>
      </x:c>
      <x:c r="F19" s="120" t="n">
        <x:v>5.8</x:v>
      </x:c>
      <x:c r="G19" s="12" t="str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4" customHeight="1">
      <x:c r="A20" s="4"/>
      <x:c r="B20" s="118" t="str">
        <x:v>10/16</x:v>
      </x:c>
      <x:c r="C20" s="118" t="str">
        <x:v>Art supplies</x:v>
      </x:c>
      <x:c r="D20" s="118" t="str">
        <x:v>Hobbies</x:v>
      </x:c>
      <x:c r="E20" s="118" t="str">
        <x:v>Card</x:v>
      </x:c>
      <x:c r="F20" s="121" t="n">
        <x:v>17.5</x:v>
      </x:c>
      <x:c r="G20" s="118" t="str">
        <x:v>doodles</x:v>
      </x:c>
      <x:c r="H20" s="4"/>
      <x:c r="I20" s="16" t="str">
        <x:v>Total spent</x:v>
      </x:c>
      <x:c r="J20" s="16"/>
      <x:c r="K20" s="16"/>
      <x:c r="L20" s="114" t="n">
        <x:f>SUM(F9:F28)</x:f>
        <x:v>194.52</x:v>
      </x:c>
      <x:c r="M20" s="4"/>
      <x:c r="N20" s="4"/>
      <x:c r="O20" s="4"/>
      <x:c r="P20" s="4"/>
      <x:c r="Q20" s="4"/>
    </x:row>
    <x:row r="21" ht="24" customHeight="1">
      <x:c r="A21" s="4"/>
      <x:c r="B21" s="12"/>
      <x:c r="C21" s="12"/>
      <x:c r="D21" s="12"/>
      <x:c r="E21" s="12"/>
      <x:c r="F21" s="120"/>
      <x:c r="G21" s="12"/>
      <x:c r="H21" s="4"/>
      <x:c r="I21" s="4"/>
      <x:c r="J21" s="4"/>
      <x:c r="K21" s="4"/>
      <x:c r="L21" s="114"/>
      <x:c r="M21" s="4"/>
      <x:c r="N21" s="4"/>
      <x:c r="O21" s="4"/>
      <x:c r="P21" s="4"/>
      <x:c r="Q21" s="4"/>
    </x:row>
    <x:row r="22" ht="24" customHeight="1">
      <x:c r="A22" s="4"/>
      <x:c r="B22" s="118"/>
      <x:c r="C22" s="118"/>
      <x:c r="D22" s="118"/>
      <x:c r="E22" s="118"/>
      <x:c r="F22" s="121"/>
      <x:c r="G22" s="118"/>
      <x:c r="H22" s="4"/>
      <x:c r="I22" s="28" t="str">
        <x:v>Remaining</x:v>
      </x:c>
      <x:c r="J22" s="28"/>
      <x:c r="K22" s="28"/>
      <x:c r="L22" s="114" t="n">
        <x:f>C5-L20</x:f>
        <x:v>455.48</x:v>
      </x:c>
      <x:c r="M22" s="4"/>
      <x:c r="N22" s="4"/>
      <x:c r="O22" s="4"/>
      <x:c r="P22" s="4"/>
      <x:c r="Q22" s="4"/>
    </x:row>
    <x:row r="23" ht="24" customHeight="1">
      <x:c r="A23" s="4"/>
      <x:c r="B23" s="12"/>
      <x:c r="C23" s="12"/>
      <x:c r="D23" s="12"/>
      <x:c r="E23" s="12"/>
      <x:c r="F23" s="120"/>
      <x:c r="G23" s="12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4" customHeight="1">
      <x:c r="A24" s="4"/>
      <x:c r="B24" s="118"/>
      <x:c r="C24" s="118"/>
      <x:c r="D24" s="118"/>
      <x:c r="E24" s="118"/>
      <x:c r="F24" s="121"/>
      <x:c r="G24" s="118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4" customHeight="1">
      <x:c r="A25" s="4"/>
      <x:c r="B25" s="12"/>
      <x:c r="C25" s="12"/>
      <x:c r="D25" s="12"/>
      <x:c r="E25" s="12"/>
      <x:c r="F25" s="120"/>
      <x:c r="G25" s="12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118"/>
      <x:c r="C26" s="118"/>
      <x:c r="D26" s="118"/>
      <x:c r="E26" s="118"/>
      <x:c r="F26" s="121"/>
      <x:c r="G26" s="118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4" customHeight="1">
      <x:c r="A27" s="4"/>
      <x:c r="B27" s="12"/>
      <x:c r="C27" s="12"/>
      <x:c r="D27" s="12"/>
      <x:c r="E27" s="12"/>
      <x:c r="F27" s="120"/>
      <x:c r="G27" s="12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4" customHeight="1">
      <x:c r="A28" s="4"/>
      <x:c r="B28" s="118"/>
      <x:c r="C28" s="118"/>
      <x:c r="D28" s="118"/>
      <x:c r="E28" s="118"/>
      <x:c r="F28" s="121"/>
      <x:c r="G28" s="118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P6"/>
    <x:mergeCell ref="I8:P8"/>
    <x:mergeCell ref="I20:K20"/>
    <x:mergeCell ref="I22:K22"/>
  </x:mergeCells>
  <x:conditionalFormatting sqref="J11:J17">
    <x:cfRule type="dataBar" priority="1">
      <x:dataBar>
        <x:cfvo type="min"/>
        <x:cfvo type="max"/>
        <x:color rgb="FFBCA2E5"/>
      </x:dataBar>
      <x:extLst>
        <x:ext xmlns:x14="http://schemas.microsoft.com/office/spreadsheetml/2009/9/main" uri="{B025F937-C7B1-47D3-B67F-A62EFF666E3E}">
          <x14:id>{1DAE091F-F228-83CE-100B-41EE6DBA8D1E}</x14:id>
        </x:ext>
      </x:extLst>
    </x:cfRule>
  </x:conditionalFormatting>
  <x:dataValidations count="1">
    <x:dataValidation type="list" sqref="D9:D28">
      <x:formula1>"Food,Treat,Home,Travel,Stationery,Hobbies,Other"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AE091F-F228-83CE-100B-41EE6DBA8D1E}">
            <x14:dataBar gradient="1">
              <x14:cfvo type="min"/>
              <x14:cfvo type="max"/>
              <x14:fillColor rgb="FFBCA2E5"/>
            </x14:dataBar>
          </x14:cfRule>
          <xm:sqref>J11:J17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19" hidden="0" customWidth="1"/>
    <x:col min="3" max="3" width="18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" hidden="0" customWidth="1"/>
  </x:cols>
  <x:sheetData>
    <x:row r="1" ht="2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4"/>
      <x:c r="B2" s="48" t="str">
        <x:v>06 · STYLE LAB  ✿</x:v>
      </x:c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"/>
    </x:row>
    <x:row r="3" ht="25" customHeight="1">
      <x:c r="A3" s="4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"/>
    </x:row>
    <x:row r="4" ht="24" customHeight="1">
      <x:c r="A4" s="4"/>
      <x:c r="B4" s="13" t="str">
        <x:v>rendering playground  •  a deliberate cross-app stress test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8" customHeight="1">
      <x:c r="A6" s="4"/>
      <x:c r="B6" s="50" t="str">
        <x:v>✦  FORMATTING SWATCHES</x:v>
      </x:c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4"/>
    </x:row>
    <x:row r="7" ht="24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8" customHeight="1">
      <x:c r="A8" s="4"/>
      <x:c r="B8" s="8" t="str">
        <x:v>Lavender</x:v>
      </x:c>
      <x:c r="C8" s="8"/>
      <x:c r="D8" s="8"/>
      <x:c r="E8" s="8"/>
      <x:c r="F8" s="8"/>
      <x:c r="G8" s="4"/>
      <x:c r="H8" s="29" t="str">
        <x:v>TEXT &amp; ALIGNMENT</x:v>
      </x:c>
      <x:c r="I8" s="29"/>
      <x:c r="J8" s="29"/>
      <x:c r="K8" s="29"/>
      <x:c r="L8" s="29"/>
      <x:c r="M8" s="29"/>
      <x:c r="N8" s="29"/>
      <x:c r="O8" s="29"/>
      <x:c r="P8" s="29"/>
      <x:c r="Q8" s="4"/>
    </x:row>
    <x:row r="9" ht="24" customHeight="1">
      <x:c r="A9" s="4"/>
      <x:c r="B9" s="8"/>
      <x:c r="C9" s="8"/>
      <x:c r="D9" s="8"/>
      <x:c r="E9" s="8"/>
      <x:c r="F9" s="8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4" customHeight="1">
      <x:c r="A10" s="4"/>
      <x:c r="B10" s="16" t="str">
        <x:v>Blush</x:v>
      </x:c>
      <x:c r="C10" s="16"/>
      <x:c r="D10" s="16"/>
      <x:c r="E10" s="16"/>
      <x:c r="F10" s="16"/>
      <x:c r="G10" s="4"/>
      <x:c r="H10" s="125" t="str">
        <x:v>Bold + italic + center</x:v>
      </x:c>
      <x:c r="I10" s="125"/>
      <x:c r="J10" s="125"/>
      <x:c r="K10" s="125"/>
      <x:c r="L10" s="125"/>
      <x:c r="M10" s="125"/>
      <x:c r="N10" s="4"/>
      <x:c r="O10" s="4"/>
      <x:c r="P10" s="4"/>
      <x:c r="Q10" s="4"/>
    </x:row>
    <x:row r="11" ht="24" customHeight="1">
      <x:c r="A11" s="4"/>
      <x:c r="B11" s="16"/>
      <x:c r="C11" s="16"/>
      <x:c r="D11" s="16"/>
      <x:c r="E11" s="16"/>
      <x:c r="F11" s="16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4" customHeight="1">
      <x:c r="A12" s="4"/>
      <x:c r="B12" s="28" t="str">
        <x:v>Mint</x:v>
      </x:c>
      <x:c r="C12" s="28"/>
      <x:c r="D12" s="28"/>
      <x:c r="E12" s="28"/>
      <x:c r="F12" s="28"/>
      <x:c r="G12" s="4"/>
      <x:c r="H12" s="34" t="str">
        <x:v>This intentionally wraps over several lines to test multiline cell layouts in various spreadsheet applications.</x:v>
      </x:c>
      <x:c r="I12" s="34"/>
      <x:c r="J12" s="34"/>
      <x:c r="K12" s="34"/>
      <x:c r="L12" s="34"/>
      <x:c r="M12" s="34"/>
      <x:c r="N12" s="34"/>
      <x:c r="O12" s="34"/>
      <x:c r="P12" s="34"/>
      <x:c r="Q12" s="4"/>
    </x:row>
    <x:row r="13" ht="24" customHeight="1">
      <x:c r="A13" s="4"/>
      <x:c r="B13" s="28"/>
      <x:c r="C13" s="28"/>
      <x:c r="D13" s="28"/>
      <x:c r="E13" s="28"/>
      <x:c r="F13" s="28"/>
      <x:c r="G13" s="4"/>
      <x:c r="H13" s="34"/>
      <x:c r="I13" s="34"/>
      <x:c r="J13" s="34"/>
      <x:c r="K13" s="34"/>
      <x:c r="L13" s="34"/>
      <x:c r="M13" s="34"/>
      <x:c r="N13" s="34"/>
      <x:c r="O13" s="34"/>
      <x:c r="P13" s="34"/>
      <x:c r="Q13" s="4"/>
    </x:row>
    <x:row r="14" ht="24" customHeight="1">
      <x:c r="A14" s="4"/>
      <x:c r="B14" s="20" t="str">
        <x:v>Peach</x:v>
      </x:c>
      <x:c r="C14" s="20"/>
      <x:c r="D14" s="20"/>
      <x:c r="E14" s="20"/>
      <x:c r="F14" s="20"/>
      <x:c r="G14" s="4"/>
      <x:c r="H14" s="34"/>
      <x:c r="I14" s="34"/>
      <x:c r="J14" s="34"/>
      <x:c r="K14" s="34"/>
      <x:c r="L14" s="34"/>
      <x:c r="M14" s="34"/>
      <x:c r="N14" s="34"/>
      <x:c r="O14" s="34"/>
      <x:c r="P14" s="34"/>
      <x:c r="Q14" s="4"/>
    </x:row>
    <x:row r="15" ht="24" customHeight="1">
      <x:c r="A15" s="4"/>
      <x:c r="B15" s="20"/>
      <x:c r="C15" s="20"/>
      <x:c r="D15" s="20"/>
      <x:c r="E15" s="20"/>
      <x:c r="F15" s="20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4" customHeight="1">
      <x:c r="A16" s="4"/>
      <x:c r="B16" s="110" t="str">
        <x:v>Butter</x:v>
      </x:c>
      <x:c r="C16" s="110"/>
      <x:c r="D16" s="110"/>
      <x:c r="E16" s="110"/>
      <x:c r="F16" s="110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4" customHeight="1">
      <x:c r="A17" s="4"/>
      <x:c r="B17" s="110"/>
      <x:c r="C17" s="110"/>
      <x:c r="D17" s="110"/>
      <x:c r="E17" s="110"/>
      <x:c r="F17" s="110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4" customHeight="1">
      <x:c r="A18" s="4"/>
      <x:c r="B18" s="12" t="str">
        <x:v>White</x:v>
      </x:c>
      <x:c r="C18" s="12"/>
      <x:c r="D18" s="12"/>
      <x:c r="E18" s="12"/>
      <x:c r="F18" s="12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4" customHeight="1">
      <x:c r="A19" s="4"/>
      <x:c r="B19" s="12"/>
      <x:c r="C19" s="12"/>
      <x:c r="D19" s="12"/>
      <x:c r="E19" s="12"/>
      <x:c r="F19" s="12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8" customHeight="1">
      <x:c r="A23" s="4"/>
      <x:c r="B23" s="50" t="str">
        <x:v>✧  NUMBER FORMATS + FORMULAS</x:v>
      </x:c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4" customHeight="1">
      <x:c r="A25" s="4"/>
      <x:c r="B25" s="116" t="str">
        <x:v>Raw number</x:v>
      </x:c>
      <x:c r="C25" s="116" t="str">
        <x:v>Display</x:v>
      </x:c>
      <x:c r="D25" s="116" t="str">
        <x:v>Formula result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4" customHeight="1">
      <x:c r="A26" s="4"/>
      <x:c r="B26" s="4" t="n">
        <x:v>1234.56</x:v>
      </x:c>
      <x:c r="C26" s="114" t="n">
        <x:f>B26</x:f>
        <x:v>1234.56</x:v>
      </x:c>
      <x:c r="D26" s="4" t="n">
        <x:f>SUM(B26,B27)</x:f>
        <x:v>1234.935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4" customHeight="1">
      <x:c r="A27" s="4"/>
      <x:c r="B27" s="4" t="n">
        <x:v>0.375</x:v>
      </x:c>
      <x:c r="C27" s="128" t="n">
        <x:f>B27</x:f>
        <x:v>0.375</x:v>
      </x:c>
      <x:c r="D27" s="4" t="str">
        <x:f>IF(B27&gt;0,"yes","no")</x:f>
        <x:v>yes</x:v>
      </x:c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4" customHeight="1">
      <x:c r="A28" s="4"/>
      <x:c r="B28" s="4" t="n">
        <x:v>46314</x:v>
      </x:c>
      <x:c r="C28" s="130" t="n">
        <x:f>B28</x:f>
        <x:v>46314</x:v>
      </x:c>
      <x:c r="D28" s="4" t="n">
        <x:f>COUNTIF('03 · Habits'!C9:AG9,1)</x:f>
        <x:v>23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4"/>
      <x:c r="B29" s="4" t="n">
        <x:v>0.8</x:v>
      </x:c>
      <x:c r="C29" s="132" t="n">
        <x:f>B29</x:f>
        <x:v>0.8</x:v>
      </x:c>
      <x:c r="D29" s="4" t="n">
        <x:f>SUM('05 · Spending'!F9:F28)</x:f>
        <x:v>194.52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4" customHeight="1">
      <x:c r="A30" s="4"/>
      <x:c r="B30" s="4" t="n">
        <x:v>-42.75</x:v>
      </x:c>
      <x:c r="C30" s="134" t="n">
        <x:f>B30</x:f>
        <x:v>-42.75</x:v>
      </x:c>
      <x:c r="D30" s="4" t="n">
        <x:f>AVERAGE('04 · Mood &amp; Energy'!C9:C39)</x:f>
        <x:v>3.032258064516129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</x:sheetData>
  <x:mergeCells>
    <x:mergeCell ref="B2:P3"/>
    <x:mergeCell ref="B4:P4"/>
    <x:mergeCell ref="B6:P6"/>
    <x:mergeCell ref="B8:F9"/>
    <x:mergeCell ref="B10:F11"/>
    <x:mergeCell ref="B12:F13"/>
    <x:mergeCell ref="B14:F15"/>
    <x:mergeCell ref="B16:F17"/>
    <x:mergeCell ref="B18:F19"/>
    <x:mergeCell ref="H8:P8"/>
    <x:mergeCell ref="H10:M10"/>
    <x:mergeCell ref="H12:P14"/>
    <x:mergeCell ref="B23:P23"/>
  </x:mergeCells>
  <x:pageMargins left="0.7" right="0.7" top="0.75" bottom="0.75" header="0.3" footer="0.3"/>
</x:worksheet>
</file>